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Markets" sheetId="3" state="visible" r:id="rId5"/>
    <sheet name="Schedule" sheetId="4" state="visible" r:id="rId6"/>
    <sheet name="Route_Pn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<sst xmlns="http://schemas.openxmlformats.org/spreadsheetml/2006/main" count="176" uniqueCount="141">
  <si>
    <t xml:space="preserve">Mini Network Planning Workbench - Bengaluru (BLR) hub</t>
  </si>
  <si>
    <t xml:space="preserve">What this is</t>
  </si>
  <si>
    <t xml:space="preserve">A learning model of a fictional hub-and-spoke airline: 1 hub (BLR) + 6 spokes. It shows how a planner connects schedule, demand, fares and cost to decide: add, hold, watch or cut.</t>
  </si>
  <si>
    <t xml:space="preserve">IMPORTANT</t>
  </si>
  <si>
    <t xml:space="preserve">All data is synthetic/illustrative. Distances are rounded approximate great-circle values; fares, demand, costs, speeds and turn times are my own assumptions, NOT Sabre or any airline's data. Verify before quoting any number externally.</t>
  </si>
  <si>
    <t xml:space="preserve">Colour legend</t>
  </si>
  <si>
    <t xml:space="preserve">Blue text on yellow = input you can change. Black = formula. Green = link to another sheet. Do not overwrite black cells.</t>
  </si>
  <si>
    <t xml:space="preserve">Tab: Inputs</t>
  </si>
  <si>
    <t xml:space="preserve">Scenario levers (demand, fare, cost change), connection rules (MCT, max connect) and the fleet table (seats, speed, cost per block hour, turnaround).</t>
  </si>
  <si>
    <t xml:space="preserve">Tab: Markets</t>
  </si>
  <si>
    <t xml:space="preserve">One row per spoke: distance, baseline daily demand per direction, average fare, aircraft type, and a frequency adjustment (+/-) for what-if.</t>
  </si>
  <si>
    <t xml:space="preserve">Tab: Schedule</t>
  </si>
  <si>
    <t xml:space="preserve">One row per aircraft rotation (BLR -&gt; spoke -&gt; BLR). Edit the BLR departure time and spoke; arrival, turnaround and return times are computed. Connection counts show whether the hub banks work.</t>
  </si>
  <si>
    <t xml:space="preserve">Tab: Route_PnL</t>
  </si>
  <si>
    <t xml:space="preserve">Per-route daily economics: capacity, passengers, spill, load factor, revenue, cost, profit, ASK/RPK, RASK, CASK, yield, breakeven load factor, a recommendation and the profit change from adding one more daily flight. Spill alone never triggers ADD: the extra flight must also be profitable.</t>
  </si>
  <si>
    <t xml:space="preserve">How a number flows</t>
  </si>
  <si>
    <t xml:space="preserve">Schedule (rotations per spoke) -&gt; frequency -&gt; capacity (seats x flights) -&gt; passengers = MIN(capacity, demand) -&gt; revenue; block time (distance/speed + allowance) -&gt; cost per flight -&gt; profit.</t>
  </si>
  <si>
    <t xml:space="preserve">Practice 1</t>
  </si>
  <si>
    <t xml:space="preserve">Set Markets!G for MAA to +3 and F to ATR72. What happens to profit and spill? Why does a smaller aircraft help on a short route?</t>
  </si>
  <si>
    <t xml:space="preserve">Practice 2</t>
  </si>
  <si>
    <t xml:space="preserve">Set Inputs!B6 (cost change) to +10%. Which routes flip from HOLD to WATCH or REVIEW? Explain breakeven load factor.</t>
  </si>
  <si>
    <t xml:space="preserve">Practice 3</t>
  </si>
  <si>
    <t xml:space="preserve">In Schedule, R19 (BOM) arrives about 10:21, nine minutes after the 10:30 bank leaves. Change its BLR departure to 05:30 and watch the connection counts and flag. Explain MCT and why 'a few minutes late' kills a connection.</t>
  </si>
  <si>
    <t xml:space="preserve">Practice 4</t>
  </si>
  <si>
    <t xml:space="preserve">Raise demand 15% in Inputs!B4. Which routes spill, and does adding a flight pay (column X)? What else could you do: bigger aircraft, higher fare?</t>
  </si>
  <si>
    <t xml:space="preserve">Limits (be honest in interviews)</t>
  </si>
  <si>
    <t xml:space="preserve">No recapture of spilled passengers, no network (O&amp;D) revenue from connecting passengers, no fare classes, no slots, single-day view, two aircraft types only. Real planning tools model all of this.</t>
  </si>
  <si>
    <t xml:space="preserve">Inputs and scenario levers</t>
  </si>
  <si>
    <t xml:space="preserve">Scenario levers and rules</t>
  </si>
  <si>
    <t xml:space="preserve">Demand change vs base</t>
  </si>
  <si>
    <t xml:space="preserve">Scenario lever. 0.1 = +10% demand on every route.</t>
  </si>
  <si>
    <t xml:space="preserve">Fare change vs base</t>
  </si>
  <si>
    <t xml:space="preserve">Scenario lever. Applies to all average fares.</t>
  </si>
  <si>
    <t xml:space="preserve">Cost change (fuel, charges)</t>
  </si>
  <si>
    <t xml:space="preserve">Scenario lever. Applies to all flight costs.</t>
  </si>
  <si>
    <t xml:space="preserve">Minimum connect time, MCT (minutes)</t>
  </si>
  <si>
    <t xml:space="preserve">Assumption: shortest legal/realistic transfer time at the hub. Real MCTs vary by airport, terminal and domestic/international.</t>
  </si>
  <si>
    <t xml:space="preserve">Maximum useful connect time (minutes)</t>
  </si>
  <si>
    <t xml:space="preserve">Assumption: connections longer than this are not treated as useful.</t>
  </si>
  <si>
    <t xml:space="preserve">Spill threshold to recommend ADD (share of demand)</t>
  </si>
  <si>
    <t xml:space="preserve">Assumption: if more than this share of demand is turned away, recommend adding capacity.</t>
  </si>
  <si>
    <t xml:space="preserve">Thin-margin threshold (load factor points above breakeven)</t>
  </si>
  <si>
    <t xml:space="preserve">Assumption: below this cushion the route is flagged WATCH.</t>
  </si>
  <si>
    <t xml:space="preserve">Fleet table (illustrative assumptions - not real airline data)</t>
  </si>
  <si>
    <t xml:space="preserve">Aircraft</t>
  </si>
  <si>
    <t xml:space="preserve">Seats</t>
  </si>
  <si>
    <t xml:space="preserve">Cruise speed (km/h)</t>
  </si>
  <si>
    <t xml:space="preserve">Taxi/climb allowance (hrs)</t>
  </si>
  <si>
    <t xml:space="preserve">Cost per block hour (INR)</t>
  </si>
  <si>
    <t xml:space="preserve">Fixed cost per departure (INR)</t>
  </si>
  <si>
    <t xml:space="preserve">Turnaround (min)</t>
  </si>
  <si>
    <t xml:space="preserve">A320</t>
  </si>
  <si>
    <t xml:space="preserve">ATR72</t>
  </si>
  <si>
    <t xml:space="preserve">Block time = distance / cruise speed + taxi/climb allowance. Cost per flight = block hours x cost per block hour + fixed cost per departure.</t>
  </si>
  <si>
    <t xml:space="preserve">Markets (spokes served from BLR)</t>
  </si>
  <si>
    <t xml:space="preserve">Blue/yellow cells are inputs. Demand and fare are per direction per day, synthetic. Distances: rounded approximate great-circle, assumption.</t>
  </si>
  <si>
    <t xml:space="preserve">Spoke</t>
  </si>
  <si>
    <t xml:space="preserve">City</t>
  </si>
  <si>
    <t xml:space="preserve">Distance (km)</t>
  </si>
  <si>
    <t xml:space="preserve">Base demand (pax/day/direction)</t>
  </si>
  <si>
    <t xml:space="preserve">Average fare (INR)</t>
  </si>
  <si>
    <t xml:space="preserve">Frequency adjustment (+/- daily flights)</t>
  </si>
  <si>
    <t xml:space="preserve">Note</t>
  </si>
  <si>
    <t xml:space="preserve">TRV</t>
  </si>
  <si>
    <t xml:space="preserve">Thiruvananthapuram</t>
  </si>
  <si>
    <t xml:space="preserve">Strong business and leisure market</t>
  </si>
  <si>
    <t xml:space="preserve">COK</t>
  </si>
  <si>
    <t xml:space="preserve">Kochi</t>
  </si>
  <si>
    <t xml:space="preserve">Short sector, turboprop fits demand</t>
  </si>
  <si>
    <t xml:space="preserve">HYD</t>
  </si>
  <si>
    <t xml:space="preserve">Hyderabad</t>
  </si>
  <si>
    <t xml:space="preserve">Corporate heavy</t>
  </si>
  <si>
    <t xml:space="preserve">MAA</t>
  </si>
  <si>
    <t xml:space="preserve">Chennai</t>
  </si>
  <si>
    <t xml:space="preserve">Very short sector, jet may be too big/costly</t>
  </si>
  <si>
    <t xml:space="preserve">GOI</t>
  </si>
  <si>
    <t xml:space="preserve">Goa</t>
  </si>
  <si>
    <t xml:space="preserve">Leisure, seasonal</t>
  </si>
  <si>
    <t xml:space="preserve">BOM</t>
  </si>
  <si>
    <t xml:space="preserve">Mumbai</t>
  </si>
  <si>
    <t xml:space="preserve">Trunk route, high demand</t>
  </si>
  <si>
    <t xml:space="preserve">Daily rotation schedule (BLR hub)</t>
  </si>
  <si>
    <t xml:space="preserve">Share of arrivals (before the last departure) with at least one valid onward connection:</t>
  </si>
  <si>
    <t xml:space="preserve">Rotation</t>
  </si>
  <si>
    <t xml:space="preserve">BLR departure</t>
  </si>
  <si>
    <t xml:space="preserve">Block time (hrs, each way)</t>
  </si>
  <si>
    <t xml:space="preserve">Arrive spoke</t>
  </si>
  <si>
    <t xml:space="preserve">Depart spoke</t>
  </si>
  <si>
    <t xml:space="preserve">Arrive BLR</t>
  </si>
  <si>
    <t xml:space="preserve">Valid onward connections from this arrival</t>
  </si>
  <si>
    <t xml:space="preserve">Valid feeder arrivals into this departure</t>
  </si>
  <si>
    <t xml:space="preserve">Check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</si>
  <si>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</si>
  <si>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</si>
  <si>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</si>
  <si>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</si>
  <si>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</si>
  <si>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</si>
  <si>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</si>
  <si>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</si>
  <si>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</si>
  <si>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</si>
  <si>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</si>
  <si>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</si>
  <si>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</si>
  <si>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</si>
  <si>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</si>
  <si>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</si>
  <si>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</si>
  <si>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</si>
  <si>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</si>
  <si>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</si>
  <si>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</si>
  <si>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</si>
  <si>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</si>
  <si>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Note: block time depends on aircraft and distance (Route_PnL). The number of rotations per spoke here drives scheduled frequency in Route_PnL. Times are one synthetic day.</t>
  </si>
  <si>
    <t xml:space="preserve">Route economics (daily, both directions unless stated)</t>
  </si>
  <si>
    <t xml:space="preserve">Formulas only - change Inputs, Markets or Schedule. Capacity/demand/passengers are per direction; revenue, cost, profit, ASK, RPK are both directions.</t>
  </si>
  <si>
    <t xml:space="preserve">Block time (hrs)</t>
  </si>
  <si>
    <t xml:space="preserve">Scheduled rotations</t>
  </si>
  <si>
    <t xml:space="preserve">Daily flights per direction</t>
  </si>
  <si>
    <t xml:space="preserve">Capacity (pax/dir/day)</t>
  </si>
  <si>
    <t xml:space="preserve">Demand (pax/dir/day)</t>
  </si>
  <si>
    <t xml:space="preserve">Passengers carried (per dir)</t>
  </si>
  <si>
    <t xml:space="preserve">Spill (pax/dir)</t>
  </si>
  <si>
    <t xml:space="preserve">Load factor</t>
  </si>
  <si>
    <t xml:space="preserve">Fare (INR)</t>
  </si>
  <si>
    <t xml:space="preserve">Revenue (INR/day)</t>
  </si>
  <si>
    <t xml:space="preserve">Cost (INR/day)</t>
  </si>
  <si>
    <t xml:space="preserve">Profit (INR/day)</t>
  </si>
  <si>
    <t xml:space="preserve">ASK/day</t>
  </si>
  <si>
    <t xml:space="preserve">RPK/day</t>
  </si>
  <si>
    <t xml:space="preserve">RASK (INR)</t>
  </si>
  <si>
    <t xml:space="preserve">CASK (INR)</t>
  </si>
  <si>
    <t xml:space="preserve">Yield (INR/RPK)</t>
  </si>
  <si>
    <t xml:space="preserve">Breakeven load factor</t>
  </si>
  <si>
    <t xml:space="preserve">Cushion (LF pts)</t>
  </si>
  <si>
    <t xml:space="preserve">Recommendation</t>
  </si>
  <si>
    <t xml:space="preserve">Profit change from adding 1 daily flight each way (INR/day)</t>
  </si>
  <si>
    <t xml:space="preserve">NETWORK</t>
  </si>
  <si>
    <t xml:space="preserve">Network load factor = total RPK / total ASK (distance-weighted). Network breakeven LF = cost / revenue at 100% load factor.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</si>
</sst>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;\(#,##0\);\-"/>
    <numFmt numFmtId="167" formatCode="\₹#,##0;&quot;(₹&quot;#,##0\);\-"/>
    <numFmt numFmtId="168" formatCode="hh:mm"/>
    <numFmt numFmtId="169" formatCode="0.00"/>
    <numFmt numFmtId="170" formatCode="\₹#,##0.00;&quot;(₹&quot;#,##0.00\);\-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Load factor vs breakeven load factor by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Route_PnL!K4</c:f>
              <c:strCache>
                <c:ptCount val="1"/>
                <c:pt idx="0">
                  <c:v>Load factor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Route_PnL!$A$5:$A$10</c:f>
              <c:strCache>
                <c:ptCount val="6"/>
                <c:pt idx="0">
                  <c:v>TRV</c:v>
                </c:pt>
                <c:pt idx="1">
                  <c:v>COK</c:v>
                </c:pt>
                <c:pt idx="2">
                  <c:v>HYD</c:v>
                </c:pt>
                <c:pt idx="3">
                  <c:v>MAA</c:v>
                </c:pt>
                <c:pt idx="4">
                  <c:v>GOI</c:v>
                </c:pt>
                <c:pt idx="5">
                  <c:v>BOM</c:v>
                </c:pt>
              </c:strCache>
            </c:strRef>
          </c:cat>
          <c:val>
            <c:numRef>
              <c:f>Route_PnL!$K$5:$K$10</c:f>
              <c:numCache>
                <c:formatCode>0.0%;\(0.0%\);\-</c:formatCode>
                <c:ptCount val="6"/>
                <c:pt idx="0">
                  <c:v>0.888888888888889</c:v>
                </c:pt>
                <c:pt idx="1">
                  <c:v>0.961538461538462</c:v>
                </c:pt>
                <c:pt idx="2">
                  <c:v>0.888888888888889</c:v>
                </c:pt>
                <c:pt idx="3">
                  <c:v>0.888888888888889</c:v>
                </c:pt>
                <c:pt idx="4">
                  <c:v>0.814814814814815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Route_PnL!U4</c:f>
              <c:strCache>
                <c:ptCount val="1"/>
                <c:pt idx="0">
                  <c:v>Breakeven load factor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Route_PnL!$A$5:$A$10</c:f>
              <c:strCache>
                <c:ptCount val="6"/>
                <c:pt idx="0">
                  <c:v>TRV</c:v>
                </c:pt>
                <c:pt idx="1">
                  <c:v>COK</c:v>
                </c:pt>
                <c:pt idx="2">
                  <c:v>HYD</c:v>
                </c:pt>
                <c:pt idx="3">
                  <c:v>MAA</c:v>
                </c:pt>
                <c:pt idx="4">
                  <c:v>GOI</c:v>
                </c:pt>
                <c:pt idx="5">
                  <c:v>BOM</c:v>
                </c:pt>
              </c:strCache>
            </c:strRef>
          </c:cat>
          <c:val>
            <c:numRef>
              <c:f>Route_PnL!$U$5:$U$10</c:f>
              <c:numCache>
                <c:formatCode>0.0%;\(0.0%\);\-</c:formatCode>
                <c:ptCount val="6"/>
                <c:pt idx="0">
                  <c:v>0.855555555555556</c:v>
                </c:pt>
                <c:pt idx="1">
                  <c:v>0.849358974358974</c:v>
                </c:pt>
                <c:pt idx="2">
                  <c:v>0.798611111111111</c:v>
                </c:pt>
                <c:pt idx="3">
                  <c:v>0.979166666666667</c:v>
                </c:pt>
                <c:pt idx="4">
                  <c:v>0.840740740740741</c:v>
                </c:pt>
                <c:pt idx="5">
                  <c:v>0.803763440860215</c:v>
                </c:pt>
              </c:numCache>
            </c:numRef>
          </c:val>
        </c:ser>
        <c:gapWidth val="150"/>
        <c:overlap val="0"/>
        <c:axId val="35809039"/>
        <c:axId val="23255907"/>
      </c:barChart>
      <c:catAx>
        <c:axId val="3580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55907"/>
        <c:crosses val="autoZero"/>
        <c:auto val="1"/>
        <c:lblAlgn val="ctr"/>
        <c:lblOffset val="100"/>
        <c:noMultiLvlLbl val="0"/>
      </c:catAx>
      <c:valAx>
        <c:axId val="23255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Load factor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09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160920</xdr:rowOff>
    </xdr:from>
    <xdr:to>
      <xdr:col>6</xdr:col>
      <xdr:colOff>136080</xdr:colOff>
      <xdr:row>28</xdr:row>
      <xdr:rowOff>172440</xdr:rowOff>
    </xdr:to>
    <xdr:graphicFrame>
      <xdr:nvGraphicFramePr>
        <xdr:cNvPr id="0" name="Chart 1"/>
        <xdr:cNvGraphicFramePr/>
      </xdr:nvGraphicFramePr>
      <xdr:xfrm>
        <a:off x="0" y="281952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2" hidden="false" customHeight="true" outlineLevel="0" collapsed="false">
      <c r="A3" s="2" t="s">
        <v>1</v>
      </c>
      <c r="B3" s="3" t="s">
        <v>2</v>
      </c>
    </row>
    <row r="4" customFormat="false" ht="42" hidden="false" customHeight="true" outlineLevel="0" collapsed="false">
      <c r="A4" s="2" t="s">
        <v>3</v>
      </c>
      <c r="B4" s="3" t="s">
        <v>4</v>
      </c>
    </row>
    <row r="5" customFormat="false" ht="42" hidden="false" customHeight="true" outlineLevel="0" collapsed="false">
      <c r="A5" s="2" t="s">
        <v>5</v>
      </c>
      <c r="B5" s="3" t="s">
        <v>6</v>
      </c>
    </row>
    <row r="6" customFormat="false" ht="42" hidden="false" customHeight="true" outlineLevel="0" collapsed="false">
      <c r="A6" s="2" t="s">
        <v>7</v>
      </c>
      <c r="B6" s="3" t="s">
        <v>8</v>
      </c>
    </row>
    <row r="7" customFormat="false" ht="42" hidden="false" customHeight="true" outlineLevel="0" collapsed="false">
      <c r="A7" s="2" t="s">
        <v>9</v>
      </c>
      <c r="B7" s="3" t="s">
        <v>10</v>
      </c>
    </row>
    <row r="8" customFormat="false" ht="42" hidden="false" customHeight="true" outlineLevel="0" collapsed="false">
      <c r="A8" s="2" t="s">
        <v>11</v>
      </c>
      <c r="B8" s="3" t="s">
        <v>12</v>
      </c>
    </row>
    <row r="9" customFormat="false" ht="42" hidden="false" customHeight="true" outlineLevel="0" collapsed="false">
      <c r="A9" s="2" t="s">
        <v>13</v>
      </c>
      <c r="B9" s="3" t="s">
        <v>14</v>
      </c>
    </row>
    <row r="10" customFormat="false" ht="42" hidden="false" customHeight="true" outlineLevel="0" collapsed="false">
      <c r="A10" s="2" t="s">
        <v>15</v>
      </c>
      <c r="B10" s="3" t="s">
        <v>16</v>
      </c>
    </row>
    <row r="11" customFormat="false" ht="42" hidden="false" customHeight="true" outlineLevel="0" collapsed="false">
      <c r="A11" s="2" t="s">
        <v>17</v>
      </c>
      <c r="B11" s="3" t="s">
        <v>18</v>
      </c>
    </row>
    <row r="12" customFormat="false" ht="42" hidden="false" customHeight="true" outlineLevel="0" collapsed="false">
      <c r="A12" s="2" t="s">
        <v>19</v>
      </c>
      <c r="B12" s="3" t="s">
        <v>20</v>
      </c>
    </row>
    <row r="13" customFormat="false" ht="42" hidden="false" customHeight="true" outlineLevel="0" collapsed="false">
      <c r="A13" s="2" t="s">
        <v>21</v>
      </c>
      <c r="B13" s="3" t="s">
        <v>22</v>
      </c>
    </row>
    <row r="14" customFormat="false" ht="42" hidden="false" customHeight="true" outlineLevel="0" collapsed="false">
      <c r="A14" s="2" t="s">
        <v>23</v>
      </c>
      <c r="B14" s="3" t="s">
        <v>24</v>
      </c>
    </row>
    <row r="15" customFormat="false" ht="42" hidden="false" customHeight="true" outlineLevel="0" collapsed="false">
      <c r="A15" s="2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7" min="4" style="0" width="18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4" t="s">
        <v>28</v>
      </c>
    </row>
    <row r="4" customFormat="false" ht="15" hidden="false" customHeight="false" outlineLevel="0" collapsed="false">
      <c r="A4" s="5" t="s">
        <v>29</v>
      </c>
      <c r="B4" s="6" t="n">
        <v>0</v>
      </c>
      <c r="C4" s="5" t="s">
        <v>30</v>
      </c>
    </row>
    <row r="5" customFormat="false" ht="15" hidden="false" customHeight="false" outlineLevel="0" collapsed="false">
      <c r="A5" s="5" t="s">
        <v>31</v>
      </c>
      <c r="B5" s="6" t="n">
        <v>0</v>
      </c>
      <c r="C5" s="5" t="s">
        <v>32</v>
      </c>
    </row>
    <row r="6" customFormat="false" ht="15" hidden="false" customHeight="false" outlineLevel="0" collapsed="false">
      <c r="A6" s="5" t="s">
        <v>33</v>
      </c>
      <c r="B6" s="6" t="n">
        <v>0</v>
      </c>
      <c r="C6" s="5" t="s">
        <v>34</v>
      </c>
    </row>
    <row r="7" customFormat="false" ht="15" hidden="false" customHeight="false" outlineLevel="0" collapsed="false">
      <c r="A7" s="5" t="s">
        <v>35</v>
      </c>
      <c r="B7" s="7" t="n">
        <v>45</v>
      </c>
      <c r="C7" s="5" t="s">
        <v>36</v>
      </c>
    </row>
    <row r="8" customFormat="false" ht="15" hidden="false" customHeight="false" outlineLevel="0" collapsed="false">
      <c r="A8" s="5" t="s">
        <v>37</v>
      </c>
      <c r="B8" s="7" t="n">
        <v>180</v>
      </c>
      <c r="C8" s="5" t="s">
        <v>38</v>
      </c>
    </row>
    <row r="9" customFormat="false" ht="15" hidden="false" customHeight="false" outlineLevel="0" collapsed="false">
      <c r="A9" s="5" t="s">
        <v>39</v>
      </c>
      <c r="B9" s="6" t="n">
        <v>0.05</v>
      </c>
      <c r="C9" s="5" t="s">
        <v>40</v>
      </c>
    </row>
    <row r="10" customFormat="false" ht="15" hidden="false" customHeight="false" outlineLevel="0" collapsed="false">
      <c r="A10" s="5" t="s">
        <v>41</v>
      </c>
      <c r="B10" s="6" t="n">
        <v>0.03</v>
      </c>
      <c r="C10" s="5" t="s">
        <v>42</v>
      </c>
    </row>
    <row r="12" customFormat="false" ht="15" hidden="false" customHeight="false" outlineLevel="0" collapsed="false">
      <c r="A12" s="4" t="s">
        <v>43</v>
      </c>
    </row>
    <row r="13" customFormat="false" ht="42" hidden="false" customHeight="true" outlineLevel="0" collapsed="false">
      <c r="A13" s="8" t="s">
        <v>44</v>
      </c>
      <c r="B13" s="8" t="s">
        <v>45</v>
      </c>
      <c r="C13" s="8" t="s">
        <v>46</v>
      </c>
      <c r="D13" s="8" t="s">
        <v>47</v>
      </c>
      <c r="E13" s="8" t="s">
        <v>48</v>
      </c>
      <c r="F13" s="8" t="s">
        <v>49</v>
      </c>
      <c r="G13" s="8" t="s">
        <v>50</v>
      </c>
    </row>
    <row r="14" customFormat="false" ht="15" hidden="false" customHeight="false" outlineLevel="0" collapsed="false">
      <c r="A14" s="9" t="s">
        <v>51</v>
      </c>
      <c r="B14" s="7" t="n">
        <v>180</v>
      </c>
      <c r="C14" s="7" t="n">
        <v>800</v>
      </c>
      <c r="D14" s="10" t="n">
        <v>0.5</v>
      </c>
      <c r="E14" s="11" t="n">
        <v>480000</v>
      </c>
      <c r="F14" s="11" t="n">
        <v>150000</v>
      </c>
      <c r="G14" s="7" t="n">
        <v>45</v>
      </c>
    </row>
    <row r="15" customFormat="false" ht="15" hidden="false" customHeight="false" outlineLevel="0" collapsed="false">
      <c r="A15" s="9" t="s">
        <v>52</v>
      </c>
      <c r="B15" s="7" t="n">
        <v>78</v>
      </c>
      <c r="C15" s="7" t="n">
        <v>500</v>
      </c>
      <c r="D15" s="10" t="n">
        <v>0.4</v>
      </c>
      <c r="E15" s="11" t="n">
        <v>150000</v>
      </c>
      <c r="F15" s="11" t="n">
        <v>50000</v>
      </c>
      <c r="G15" s="7" t="n">
        <v>35</v>
      </c>
    </row>
    <row r="17" customFormat="false" ht="15" hidden="false" customHeight="false" outlineLevel="0" collapsed="false">
      <c r="A17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5" t="s">
        <v>55</v>
      </c>
    </row>
    <row r="4" customFormat="false" ht="42" hidden="false" customHeight="true" outlineLevel="0" collapsed="false">
      <c r="A4" s="8" t="s">
        <v>56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44</v>
      </c>
      <c r="G4" s="8" t="s">
        <v>61</v>
      </c>
      <c r="H4" s="8" t="s">
        <v>62</v>
      </c>
    </row>
    <row r="5" customFormat="false" ht="15" hidden="false" customHeight="false" outlineLevel="0" collapsed="false">
      <c r="A5" s="9" t="s">
        <v>63</v>
      </c>
      <c r="B5" s="12" t="s">
        <v>64</v>
      </c>
      <c r="C5" s="7" t="n">
        <v>505</v>
      </c>
      <c r="D5" s="7" t="n">
        <v>640</v>
      </c>
      <c r="E5" s="11" t="n">
        <v>4500</v>
      </c>
      <c r="F5" s="10" t="s">
        <v>51</v>
      </c>
      <c r="G5" s="10" t="n">
        <v>0</v>
      </c>
      <c r="H5" s="12" t="s">
        <v>65</v>
      </c>
    </row>
    <row r="6" customFormat="false" ht="15" hidden="false" customHeight="false" outlineLevel="0" collapsed="false">
      <c r="A6" s="9" t="s">
        <v>66</v>
      </c>
      <c r="B6" s="12" t="s">
        <v>67</v>
      </c>
      <c r="C6" s="7" t="n">
        <v>340</v>
      </c>
      <c r="D6" s="7" t="n">
        <v>300</v>
      </c>
      <c r="E6" s="11" t="n">
        <v>3200</v>
      </c>
      <c r="F6" s="10" t="s">
        <v>52</v>
      </c>
      <c r="G6" s="10" t="n">
        <v>0</v>
      </c>
      <c r="H6" s="12" t="s">
        <v>68</v>
      </c>
    </row>
    <row r="7" customFormat="false" ht="15" hidden="false" customHeight="false" outlineLevel="0" collapsed="false">
      <c r="A7" s="9" t="s">
        <v>69</v>
      </c>
      <c r="B7" s="12" t="s">
        <v>70</v>
      </c>
      <c r="C7" s="7" t="n">
        <v>500</v>
      </c>
      <c r="D7" s="7" t="n">
        <v>640</v>
      </c>
      <c r="E7" s="11" t="n">
        <v>4800</v>
      </c>
      <c r="F7" s="10" t="s">
        <v>51</v>
      </c>
      <c r="G7" s="10" t="n">
        <v>0</v>
      </c>
      <c r="H7" s="12" t="s">
        <v>71</v>
      </c>
    </row>
    <row r="8" customFormat="false" ht="15" hidden="false" customHeight="false" outlineLevel="0" collapsed="false">
      <c r="A8" s="9" t="s">
        <v>72</v>
      </c>
      <c r="B8" s="12" t="s">
        <v>73</v>
      </c>
      <c r="C8" s="7" t="n">
        <v>290</v>
      </c>
      <c r="D8" s="7" t="n">
        <v>480</v>
      </c>
      <c r="E8" s="11" t="n">
        <v>3200</v>
      </c>
      <c r="F8" s="10" t="s">
        <v>51</v>
      </c>
      <c r="G8" s="10" t="n">
        <v>0</v>
      </c>
      <c r="H8" s="12" t="s">
        <v>74</v>
      </c>
    </row>
    <row r="9" customFormat="false" ht="15" hidden="false" customHeight="false" outlineLevel="0" collapsed="false">
      <c r="A9" s="9" t="s">
        <v>75</v>
      </c>
      <c r="B9" s="12" t="s">
        <v>76</v>
      </c>
      <c r="C9" s="7" t="n">
        <v>485</v>
      </c>
      <c r="D9" s="7" t="n">
        <v>440</v>
      </c>
      <c r="E9" s="11" t="n">
        <v>4500</v>
      </c>
      <c r="F9" s="10" t="s">
        <v>51</v>
      </c>
      <c r="G9" s="10" t="n">
        <v>0</v>
      </c>
      <c r="H9" s="12" t="s">
        <v>77</v>
      </c>
    </row>
    <row r="10" customFormat="false" ht="15" hidden="false" customHeight="false" outlineLevel="0" collapsed="false">
      <c r="A10" s="9" t="s">
        <v>78</v>
      </c>
      <c r="B10" s="12" t="s">
        <v>79</v>
      </c>
      <c r="C10" s="7" t="n">
        <v>845</v>
      </c>
      <c r="D10" s="7" t="n">
        <v>980</v>
      </c>
      <c r="E10" s="11" t="n">
        <v>6200</v>
      </c>
      <c r="F10" s="10" t="s">
        <v>51</v>
      </c>
      <c r="G10" s="10" t="n">
        <v>0</v>
      </c>
      <c r="H10" s="12" t="s">
        <v>80</v>
      </c>
    </row>
  </sheetData>
  <dataValidations count="1">
    <dataValidation allowBlank="false" errorStyle="stop" operator="between" showDropDown="false" showErrorMessage="false" showInputMessage="false" sqref="F5:F10" type="list">
      <formula1>Inputs!$A$14:$A$15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3"/>
    <col collapsed="false" customWidth="true" hidden="false" outlineLevel="0" max="10" min="9" style="0" width="22"/>
    <col collapsed="false" customWidth="true" hidden="false" outlineLevel="0" max="11" min="11" style="0" width="36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4" t="s">
        <v>82</v>
      </c>
      <c r="H2" s="13" t="n">
        <f aca="false">IF(COUNTIF(H5:H27,"&lt;"&amp;MAX(D5:D27))=0,0,COUNTIFS(I5:I27,"&gt;0",H5:H27,"&lt;"&amp;MAX(D5:D27))/COUNTIF(H5:H27,"&lt;"&amp;MAX(D5:D27)))</f>
        <v>0.833333333333333</v>
      </c>
    </row>
    <row r="4" customFormat="false" ht="42" hidden="false" customHeight="true" outlineLevel="0" collapsed="false">
      <c r="A4" s="8" t="s">
        <v>83</v>
      </c>
      <c r="B4" s="8" t="s">
        <v>56</v>
      </c>
      <c r="C4" s="8" t="s">
        <v>44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90</v>
      </c>
      <c r="K4" s="8" t="s">
        <v>91</v>
      </c>
    </row>
    <row r="5" customFormat="false" ht="15" hidden="false" customHeight="false" outlineLevel="0" collapsed="false">
      <c r="A5" s="9" t="s">
        <v>92</v>
      </c>
      <c r="B5" s="10" t="s">
        <v>63</v>
      </c>
      <c r="C5" s="14" t="str">
        <f aca="false">INDEX(Markets!$F$5:$F$10,MATCH(B5,Markets!$A$5:$A$10,0))</f>
        <v>A320</v>
      </c>
      <c r="D5" s="15" t="n">
        <v>0.270833333333333</v>
      </c>
      <c r="E5" s="16" t="n">
        <f aca="false">INDEX(Route_PnL!$D$5:$D$10,MATCH(B5,Route_PnL!$A$5:$A$10,0))</f>
        <v>1.13125</v>
      </c>
      <c r="F5" s="17" t="n">
        <f aca="false">D5+E5/24</f>
        <v>0.317968749999988</v>
      </c>
      <c r="G5" s="17" t="n">
        <f aca="false">F5+INDEX(Inputs!$G$14:$G$15,MATCH(C5,Inputs!$A$14:$A$15,0))/1440</f>
        <v>0.349218749999988</v>
      </c>
      <c r="H5" s="17" t="n">
        <f aca="false">G5+E5/24</f>
        <v>0.396354166666667</v>
      </c>
      <c r="I5" s="18" t="n">
        <f aca="false">SUMPRODUCT(($D$5:$D$27-H5&gt;=Inputs!$B$7/1440)*($D$5:$D$27-H5&lt;=Inputs!$B$8/1440)*($B$5:$B$27&lt;&gt;B5))</f>
        <v>5</v>
      </c>
      <c r="J5" s="18" t="n">
        <f aca="false">SUMPRODUCT((D5-$H$5:$H$27&gt;=Inputs!$B$7/1440)*(D5-$H$5:$H$27&lt;=Inputs!$B$8/1440)*($B$5:$B$27&lt;&gt;B5))</f>
        <v>0</v>
      </c>
      <c r="K5" s="12" t="str">
        <f aca="false">IF(AND(I5=0,H5&lt;MAX($D$5:$D$27)),"! arrival misses every onward bank",IF(AND(J5=0,D5&gt;MIN($H$5:$H$27)),"! departure has no feeder","OK"))</f>
        <v>OK</v>
      </c>
    </row>
    <row r="6" customFormat="false" ht="15" hidden="false" customHeight="false" outlineLevel="0" collapsed="false">
      <c r="A6" s="9" t="s">
        <v>93</v>
      </c>
      <c r="B6" s="10" t="s">
        <v>63</v>
      </c>
      <c r="C6" s="14" t="str">
        <f aca="false">INDEX(Markets!$F$5:$F$10,MATCH(B6,Markets!$A$5:$A$10,0))</f>
        <v>A320</v>
      </c>
      <c r="D6" s="15" t="n">
        <v>0.4375</v>
      </c>
      <c r="E6" s="16" t="n">
        <f aca="false">INDEX(Route_PnL!$D$5:$D$10,MATCH(B6,Route_PnL!$A$5:$A$10,0))</f>
        <v>1.13125</v>
      </c>
      <c r="F6" s="17" t="n">
        <f aca="false">D6+E6/24</f>
        <v>0.484635416666667</v>
      </c>
      <c r="G6" s="17" t="n">
        <f aca="false">F6+INDEX(Inputs!$G$14:$G$15,MATCH(C6,Inputs!$A$14:$A$15,0))/1440</f>
        <v>0.515885416666667</v>
      </c>
      <c r="H6" s="17" t="n">
        <f aca="false">G6+E6/24</f>
        <v>0.563020833333333</v>
      </c>
      <c r="I6" s="18" t="n">
        <f aca="false">SUMPRODUCT(($D$5:$D$27-H6&gt;=Inputs!$B$7/1440)*($D$5:$D$27-H6&lt;=Inputs!$B$8/1440)*($B$5:$B$27&lt;&gt;B6))</f>
        <v>5</v>
      </c>
      <c r="J6" s="18" t="n">
        <f aca="false">SUMPRODUCT((D6-$H$5:$H$27&gt;=Inputs!$B$7/1440)*(D6-$H$5:$H$27&lt;=Inputs!$B$8/1440)*($B$5:$B$27&lt;&gt;B6))</f>
        <v>4</v>
      </c>
      <c r="K6" s="12" t="str">
        <f aca="false">IF(AND(I6=0,H6&lt;MAX($D$5:$D$27)),"! arrival misses every onward bank",IF(AND(J6=0,D6&gt;MIN($H$5:$H$27)),"! departure has no feeder","OK"))</f>
        <v>OK</v>
      </c>
    </row>
    <row r="7" customFormat="false" ht="15" hidden="false" customHeight="false" outlineLevel="0" collapsed="false">
      <c r="A7" s="9" t="s">
        <v>94</v>
      </c>
      <c r="B7" s="10" t="s">
        <v>63</v>
      </c>
      <c r="C7" s="14" t="str">
        <f aca="false">INDEX(Markets!$F$5:$F$10,MATCH(B7,Markets!$A$5:$A$10,0))</f>
        <v>A320</v>
      </c>
      <c r="D7" s="15" t="n">
        <v>0.604166666666667</v>
      </c>
      <c r="E7" s="16" t="n">
        <f aca="false">INDEX(Route_PnL!$D$5:$D$10,MATCH(B7,Route_PnL!$A$5:$A$10,0))</f>
        <v>1.13125</v>
      </c>
      <c r="F7" s="17" t="n">
        <f aca="false">D7+E7/24</f>
        <v>0.651302083333322</v>
      </c>
      <c r="G7" s="17" t="n">
        <f aca="false">F7+INDEX(Inputs!$G$14:$G$15,MATCH(C7,Inputs!$A$14:$A$15,0))/1440</f>
        <v>0.682552083333322</v>
      </c>
      <c r="H7" s="17" t="n">
        <f aca="false">G7+E7/24</f>
        <v>0.7296875</v>
      </c>
      <c r="I7" s="18" t="n">
        <f aca="false">SUMPRODUCT(($D$5:$D$27-H7&gt;=Inputs!$B$7/1440)*($D$5:$D$27-H7&lt;=Inputs!$B$8/1440)*($B$5:$B$27&lt;&gt;B7))</f>
        <v>4</v>
      </c>
      <c r="J7" s="18" t="n">
        <f aca="false">SUMPRODUCT((D7-$H$5:$H$27&gt;=Inputs!$B$7/1440)*(D7-$H$5:$H$27&lt;=Inputs!$B$8/1440)*($B$5:$B$27&lt;&gt;B7))</f>
        <v>3</v>
      </c>
      <c r="K7" s="12" t="str">
        <f aca="false">IF(AND(I7=0,H7&lt;MAX($D$5:$D$27)),"! arrival misses every onward bank",IF(AND(J7=0,D7&gt;MIN($H$5:$H$27)),"! departure has no feeder","OK"))</f>
        <v>OK</v>
      </c>
    </row>
    <row r="8" customFormat="false" ht="15" hidden="false" customHeight="false" outlineLevel="0" collapsed="false">
      <c r="A8" s="9" t="s">
        <v>95</v>
      </c>
      <c r="B8" s="10" t="s">
        <v>63</v>
      </c>
      <c r="C8" s="14" t="str">
        <f aca="false">INDEX(Markets!$F$5:$F$10,MATCH(B8,Markets!$A$5:$A$10,0))</f>
        <v>A320</v>
      </c>
      <c r="D8" s="15" t="n">
        <v>0.770833333333333</v>
      </c>
      <c r="E8" s="16" t="n">
        <f aca="false">INDEX(Route_PnL!$D$5:$D$10,MATCH(B8,Route_PnL!$A$5:$A$10,0))</f>
        <v>1.13125</v>
      </c>
      <c r="F8" s="17" t="n">
        <f aca="false">D8+E8/24</f>
        <v>0.81796875</v>
      </c>
      <c r="G8" s="17" t="n">
        <f aca="false">F8+INDEX(Inputs!$G$14:$G$15,MATCH(C8,Inputs!$A$14:$A$15,0))/1440</f>
        <v>0.84921875</v>
      </c>
      <c r="H8" s="17" t="n">
        <f aca="false">G8+E8/24</f>
        <v>0.896354166666667</v>
      </c>
      <c r="I8" s="18" t="n">
        <f aca="false">SUMPRODUCT(($D$5:$D$27-H8&gt;=Inputs!$B$7/1440)*($D$5:$D$27-H8&lt;=Inputs!$B$8/1440)*($B$5:$B$27&lt;&gt;B8))</f>
        <v>0</v>
      </c>
      <c r="J8" s="18" t="n">
        <f aca="false">SUMPRODUCT((D8-$H$5:$H$27&gt;=Inputs!$B$7/1440)*(D8-$H$5:$H$27&lt;=Inputs!$B$8/1440)*($B$5:$B$27&lt;&gt;B8))</f>
        <v>5</v>
      </c>
      <c r="K8" s="12" t="str">
        <f aca="false">IF(AND(I8=0,H8&lt;MAX($D$5:$D$27)),"! arrival misses every onward bank",IF(AND(J8=0,D8&gt;MIN($H$5:$H$27)),"! departure has no feeder","OK"))</f>
        <v>OK</v>
      </c>
    </row>
    <row r="9" customFormat="false" ht="15" hidden="false" customHeight="false" outlineLevel="0" collapsed="false">
      <c r="A9" s="9" t="s">
        <v>96</v>
      </c>
      <c r="B9" s="10" t="s">
        <v>66</v>
      </c>
      <c r="C9" s="14" t="str">
        <f aca="false">INDEX(Markets!$F$5:$F$10,MATCH(B9,Markets!$A$5:$A$10,0))</f>
        <v>ATR72</v>
      </c>
      <c r="D9" s="15" t="n">
        <v>0.270833333333333</v>
      </c>
      <c r="E9" s="16" t="n">
        <f aca="false">INDEX(Route_PnL!$D$5:$D$10,MATCH(B9,Route_PnL!$A$5:$A$10,0))</f>
        <v>1.08</v>
      </c>
      <c r="F9" s="17" t="n">
        <f aca="false">D9+E9/24</f>
        <v>0.315833333333333</v>
      </c>
      <c r="G9" s="17" t="n">
        <f aca="false">F9+INDEX(Inputs!$G$14:$G$15,MATCH(C9,Inputs!$A$14:$A$15,0))/1440</f>
        <v>0.340138888888889</v>
      </c>
      <c r="H9" s="17" t="n">
        <f aca="false">G9+E9/24</f>
        <v>0.385138888888889</v>
      </c>
      <c r="I9" s="18" t="n">
        <f aca="false">SUMPRODUCT(($D$5:$D$27-H9&gt;=Inputs!$B$7/1440)*($D$5:$D$27-H9&lt;=Inputs!$B$8/1440)*($B$5:$B$27&lt;&gt;B9))</f>
        <v>4</v>
      </c>
      <c r="J9" s="18" t="n">
        <f aca="false">SUMPRODUCT((D9-$H$5:$H$27&gt;=Inputs!$B$7/1440)*(D9-$H$5:$H$27&lt;=Inputs!$B$8/1440)*($B$5:$B$27&lt;&gt;B9))</f>
        <v>0</v>
      </c>
      <c r="K9" s="12" t="str">
        <f aca="false">IF(AND(I9=0,H9&lt;MAX($D$5:$D$27)),"! arrival misses every onward bank",IF(AND(J9=0,D9&gt;MIN($H$5:$H$27)),"! departure has no feeder","OK"))</f>
        <v>OK</v>
      </c>
    </row>
    <row r="10" customFormat="false" ht="15" hidden="false" customHeight="false" outlineLevel="0" collapsed="false">
      <c r="A10" s="9" t="s">
        <v>97</v>
      </c>
      <c r="B10" s="10" t="s">
        <v>66</v>
      </c>
      <c r="C10" s="14" t="str">
        <f aca="false">INDEX(Markets!$F$5:$F$10,MATCH(B10,Markets!$A$5:$A$10,0))</f>
        <v>ATR72</v>
      </c>
      <c r="D10" s="15" t="n">
        <v>0.4375</v>
      </c>
      <c r="E10" s="16" t="n">
        <f aca="false">INDEX(Route_PnL!$D$5:$D$10,MATCH(B10,Route_PnL!$A$5:$A$10,0))</f>
        <v>1.08</v>
      </c>
      <c r="F10" s="17" t="n">
        <f aca="false">D10+E10/24</f>
        <v>0.4825</v>
      </c>
      <c r="G10" s="17" t="n">
        <f aca="false">F10+INDEX(Inputs!$G$14:$G$15,MATCH(C10,Inputs!$A$14:$A$15,0))/1440</f>
        <v>0.506805555555556</v>
      </c>
      <c r="H10" s="17" t="n">
        <f aca="false">G10+E10/24</f>
        <v>0.551805555555556</v>
      </c>
      <c r="I10" s="18" t="n">
        <f aca="false">SUMPRODUCT(($D$5:$D$27-H10&gt;=Inputs!$B$7/1440)*($D$5:$D$27-H10&lt;=Inputs!$B$8/1440)*($B$5:$B$27&lt;&gt;B10))</f>
        <v>5</v>
      </c>
      <c r="J10" s="18" t="n">
        <f aca="false">SUMPRODUCT((D10-$H$5:$H$27&gt;=Inputs!$B$7/1440)*(D10-$H$5:$H$27&lt;=Inputs!$B$8/1440)*($B$5:$B$27&lt;&gt;B10))</f>
        <v>4</v>
      </c>
      <c r="K10" s="12" t="str">
        <f aca="false">IF(AND(I10=0,H10&lt;MAX($D$5:$D$27)),"! arrival misses every onward bank",IF(AND(J10=0,D10&gt;MIN($H$5:$H$27)),"! departure has no feeder","OK"))</f>
        <v>OK</v>
      </c>
    </row>
    <row r="11" customFormat="false" ht="15" hidden="false" customHeight="false" outlineLevel="0" collapsed="false">
      <c r="A11" s="9" t="s">
        <v>98</v>
      </c>
      <c r="B11" s="10" t="s">
        <v>66</v>
      </c>
      <c r="C11" s="14" t="str">
        <f aca="false">INDEX(Markets!$F$5:$F$10,MATCH(B11,Markets!$A$5:$A$10,0))</f>
        <v>ATR72</v>
      </c>
      <c r="D11" s="15" t="n">
        <v>0.604166666666667</v>
      </c>
      <c r="E11" s="16" t="n">
        <f aca="false">INDEX(Route_PnL!$D$5:$D$10,MATCH(B11,Route_PnL!$A$5:$A$10,0))</f>
        <v>1.08</v>
      </c>
      <c r="F11" s="17" t="n">
        <f aca="false">D11+E11/24</f>
        <v>0.649166666666667</v>
      </c>
      <c r="G11" s="17" t="n">
        <f aca="false">F11+INDEX(Inputs!$G$14:$G$15,MATCH(C11,Inputs!$A$14:$A$15,0))/1440</f>
        <v>0.673472222222222</v>
      </c>
      <c r="H11" s="17" t="n">
        <f aca="false">G11+E11/24</f>
        <v>0.718472222222222</v>
      </c>
      <c r="I11" s="18" t="n">
        <f aca="false">SUMPRODUCT(($D$5:$D$27-H11&gt;=Inputs!$B$7/1440)*($D$5:$D$27-H11&lt;=Inputs!$B$8/1440)*($B$5:$B$27&lt;&gt;B11))</f>
        <v>4</v>
      </c>
      <c r="J11" s="18" t="n">
        <f aca="false">SUMPRODUCT((D11-$H$5:$H$27&gt;=Inputs!$B$7/1440)*(D11-$H$5:$H$27&lt;=Inputs!$B$8/1440)*($B$5:$B$27&lt;&gt;B11))</f>
        <v>3</v>
      </c>
      <c r="K11" s="12" t="str">
        <f aca="false">IF(AND(I11=0,H11&lt;MAX($D$5:$D$27)),"! arrival misses every onward bank",IF(AND(J11=0,D11&gt;MIN($H$5:$H$27)),"! departure has no feeder","OK"))</f>
        <v>OK</v>
      </c>
    </row>
    <row r="12" customFormat="false" ht="15" hidden="false" customHeight="false" outlineLevel="0" collapsed="false">
      <c r="A12" s="9" t="s">
        <v>99</v>
      </c>
      <c r="B12" s="10" t="s">
        <v>66</v>
      </c>
      <c r="C12" s="14" t="str">
        <f aca="false">INDEX(Markets!$F$5:$F$10,MATCH(B12,Markets!$A$5:$A$10,0))</f>
        <v>ATR72</v>
      </c>
      <c r="D12" s="15" t="n">
        <v>0.770833333333333</v>
      </c>
      <c r="E12" s="16" t="n">
        <f aca="false">INDEX(Route_PnL!$D$5:$D$10,MATCH(B12,Route_PnL!$A$5:$A$10,0))</f>
        <v>1.08</v>
      </c>
      <c r="F12" s="17" t="n">
        <f aca="false">D12+E12/24</f>
        <v>0.815833333333333</v>
      </c>
      <c r="G12" s="17" t="n">
        <f aca="false">F12+INDEX(Inputs!$G$14:$G$15,MATCH(C12,Inputs!$A$14:$A$15,0))/1440</f>
        <v>0.840138888888889</v>
      </c>
      <c r="H12" s="17" t="n">
        <f aca="false">G12+E12/24</f>
        <v>0.885138888888889</v>
      </c>
      <c r="I12" s="18" t="n">
        <f aca="false">SUMPRODUCT(($D$5:$D$27-H12&gt;=Inputs!$B$7/1440)*($D$5:$D$27-H12&lt;=Inputs!$B$8/1440)*($B$5:$B$27&lt;&gt;B12))</f>
        <v>0</v>
      </c>
      <c r="J12" s="18" t="n">
        <f aca="false">SUMPRODUCT((D12-$H$5:$H$27&gt;=Inputs!$B$7/1440)*(D12-$H$5:$H$27&lt;=Inputs!$B$8/1440)*($B$5:$B$27&lt;&gt;B12))</f>
        <v>5</v>
      </c>
      <c r="K12" s="12" t="str">
        <f aca="false">IF(AND(I12=0,H12&lt;MAX($D$5:$D$27)),"! arrival misses every onward bank",IF(AND(J12=0,D12&gt;MIN($H$5:$H$27)),"! departure has no feeder","OK"))</f>
        <v>OK</v>
      </c>
    </row>
    <row r="13" customFormat="false" ht="15" hidden="false" customHeight="false" outlineLevel="0" collapsed="false">
      <c r="A13" s="9" t="s">
        <v>100</v>
      </c>
      <c r="B13" s="10" t="s">
        <v>69</v>
      </c>
      <c r="C13" s="14" t="str">
        <f aca="false">INDEX(Markets!$F$5:$F$10,MATCH(B13,Markets!$A$5:$A$10,0))</f>
        <v>A320</v>
      </c>
      <c r="D13" s="15" t="n">
        <v>0.270833333333333</v>
      </c>
      <c r="E13" s="16" t="n">
        <f aca="false">INDEX(Route_PnL!$D$5:$D$10,MATCH(B13,Route_PnL!$A$5:$A$10,0))</f>
        <v>1.125</v>
      </c>
      <c r="F13" s="17" t="n">
        <f aca="false">D13+E13/24</f>
        <v>0.317708333333333</v>
      </c>
      <c r="G13" s="17" t="n">
        <f aca="false">F13+INDEX(Inputs!$G$14:$G$15,MATCH(C13,Inputs!$A$14:$A$15,0))/1440</f>
        <v>0.348958333333333</v>
      </c>
      <c r="H13" s="17" t="n">
        <f aca="false">G13+E13/24</f>
        <v>0.395833333333333</v>
      </c>
      <c r="I13" s="18" t="n">
        <f aca="false">SUMPRODUCT(($D$5:$D$27-H13&gt;=Inputs!$B$7/1440)*($D$5:$D$27-H13&lt;=Inputs!$B$8/1440)*($B$5:$B$27&lt;&gt;B13))</f>
        <v>5</v>
      </c>
      <c r="J13" s="18" t="n">
        <f aca="false">SUMPRODUCT((D13-$H$5:$H$27&gt;=Inputs!$B$7/1440)*(D13-$H$5:$H$27&lt;=Inputs!$B$8/1440)*($B$5:$B$27&lt;&gt;B13))</f>
        <v>0</v>
      </c>
      <c r="K13" s="12" t="str">
        <f aca="false">IF(AND(I13=0,H13&lt;MAX($D$5:$D$27)),"! arrival misses every onward bank",IF(AND(J13=0,D13&gt;MIN($H$5:$H$27)),"! departure has no feeder","OK"))</f>
        <v>OK</v>
      </c>
    </row>
    <row r="14" customFormat="false" ht="15" hidden="false" customHeight="false" outlineLevel="0" collapsed="false">
      <c r="A14" s="9" t="s">
        <v>101</v>
      </c>
      <c r="B14" s="10" t="s">
        <v>69</v>
      </c>
      <c r="C14" s="14" t="str">
        <f aca="false">INDEX(Markets!$F$5:$F$10,MATCH(B14,Markets!$A$5:$A$10,0))</f>
        <v>A320</v>
      </c>
      <c r="D14" s="15" t="n">
        <v>0.4375</v>
      </c>
      <c r="E14" s="16" t="n">
        <f aca="false">INDEX(Route_PnL!$D$5:$D$10,MATCH(B14,Route_PnL!$A$5:$A$10,0))</f>
        <v>1.125</v>
      </c>
      <c r="F14" s="17" t="n">
        <f aca="false">D14+E14/24</f>
        <v>0.484375</v>
      </c>
      <c r="G14" s="17" t="n">
        <f aca="false">F14+INDEX(Inputs!$G$14:$G$15,MATCH(C14,Inputs!$A$14:$A$15,0))/1440</f>
        <v>0.515625</v>
      </c>
      <c r="H14" s="17" t="n">
        <f aca="false">G14+E14/24</f>
        <v>0.5625</v>
      </c>
      <c r="I14" s="18" t="n">
        <f aca="false">SUMPRODUCT(($D$5:$D$27-H14&gt;=Inputs!$B$7/1440)*($D$5:$D$27-H14&lt;=Inputs!$B$8/1440)*($B$5:$B$27&lt;&gt;B14))</f>
        <v>5</v>
      </c>
      <c r="J14" s="18" t="n">
        <f aca="false">SUMPRODUCT((D14-$H$5:$H$27&gt;=Inputs!$B$7/1440)*(D14-$H$5:$H$27&lt;=Inputs!$B$8/1440)*($B$5:$B$27&lt;&gt;B14))</f>
        <v>4</v>
      </c>
      <c r="K14" s="12" t="str">
        <f aca="false">IF(AND(I14=0,H14&lt;MAX($D$5:$D$27)),"! arrival misses every onward bank",IF(AND(J14=0,D14&gt;MIN($H$5:$H$27)),"! departure has no feeder","OK"))</f>
        <v>OK</v>
      </c>
    </row>
    <row r="15" customFormat="false" ht="15" hidden="false" customHeight="false" outlineLevel="0" collapsed="false">
      <c r="A15" s="9" t="s">
        <v>102</v>
      </c>
      <c r="B15" s="10" t="s">
        <v>69</v>
      </c>
      <c r="C15" s="14" t="str">
        <f aca="false">INDEX(Markets!$F$5:$F$10,MATCH(B15,Markets!$A$5:$A$10,0))</f>
        <v>A320</v>
      </c>
      <c r="D15" s="15" t="n">
        <v>0.604166666666667</v>
      </c>
      <c r="E15" s="16" t="n">
        <f aca="false">INDEX(Route_PnL!$D$5:$D$10,MATCH(B15,Route_PnL!$A$5:$A$10,0))</f>
        <v>1.125</v>
      </c>
      <c r="F15" s="17" t="n">
        <f aca="false">D15+E15/24</f>
        <v>0.651041666666667</v>
      </c>
      <c r="G15" s="17" t="n">
        <f aca="false">F15+INDEX(Inputs!$G$14:$G$15,MATCH(C15,Inputs!$A$14:$A$15,0))/1440</f>
        <v>0.682291666666667</v>
      </c>
      <c r="H15" s="17" t="n">
        <f aca="false">G15+E15/24</f>
        <v>0.729166666666667</v>
      </c>
      <c r="I15" s="18" t="n">
        <f aca="false">SUMPRODUCT(($D$5:$D$27-H15&gt;=Inputs!$B$7/1440)*($D$5:$D$27-H15&lt;=Inputs!$B$8/1440)*($B$5:$B$27&lt;&gt;B15))</f>
        <v>4</v>
      </c>
      <c r="J15" s="18" t="n">
        <f aca="false">SUMPRODUCT((D15-$H$5:$H$27&gt;=Inputs!$B$7/1440)*(D15-$H$5:$H$27&lt;=Inputs!$B$8/1440)*($B$5:$B$27&lt;&gt;B15))</f>
        <v>3</v>
      </c>
      <c r="K15" s="12" t="str">
        <f aca="false">IF(AND(I15=0,H15&lt;MAX($D$5:$D$27)),"! arrival misses every onward bank",IF(AND(J15=0,D15&gt;MIN($H$5:$H$27)),"! departure has no feeder","OK"))</f>
        <v>OK</v>
      </c>
    </row>
    <row r="16" customFormat="false" ht="15" hidden="false" customHeight="false" outlineLevel="0" collapsed="false">
      <c r="A16" s="9" t="s">
        <v>103</v>
      </c>
      <c r="B16" s="10" t="s">
        <v>69</v>
      </c>
      <c r="C16" s="14" t="str">
        <f aca="false">INDEX(Markets!$F$5:$F$10,MATCH(B16,Markets!$A$5:$A$10,0))</f>
        <v>A320</v>
      </c>
      <c r="D16" s="15" t="n">
        <v>0.770833333333333</v>
      </c>
      <c r="E16" s="16" t="n">
        <f aca="false">INDEX(Route_PnL!$D$5:$D$10,MATCH(B16,Route_PnL!$A$5:$A$10,0))</f>
        <v>1.125</v>
      </c>
      <c r="F16" s="17" t="n">
        <f aca="false">D16+E16/24</f>
        <v>0.817708333333333</v>
      </c>
      <c r="G16" s="17" t="n">
        <f aca="false">F16+INDEX(Inputs!$G$14:$G$15,MATCH(C16,Inputs!$A$14:$A$15,0))/1440</f>
        <v>0.848958333333333</v>
      </c>
      <c r="H16" s="17" t="n">
        <f aca="false">G16+E16/24</f>
        <v>0.895833333333333</v>
      </c>
      <c r="I16" s="18" t="n">
        <f aca="false">SUMPRODUCT(($D$5:$D$27-H16&gt;=Inputs!$B$7/1440)*($D$5:$D$27-H16&lt;=Inputs!$B$8/1440)*($B$5:$B$27&lt;&gt;B16))</f>
        <v>0</v>
      </c>
      <c r="J16" s="18" t="n">
        <f aca="false">SUMPRODUCT((D16-$H$5:$H$27&gt;=Inputs!$B$7/1440)*(D16-$H$5:$H$27&lt;=Inputs!$B$8/1440)*($B$5:$B$27&lt;&gt;B16))</f>
        <v>5</v>
      </c>
      <c r="K16" s="12" t="str">
        <f aca="false">IF(AND(I16=0,H16&lt;MAX($D$5:$D$27)),"! arrival misses every onward bank",IF(AND(J16=0,D16&gt;MIN($H$5:$H$27)),"! departure has no feeder","OK"))</f>
        <v>OK</v>
      </c>
    </row>
    <row r="17" customFormat="false" ht="15" hidden="false" customHeight="false" outlineLevel="0" collapsed="false">
      <c r="A17" s="9" t="s">
        <v>104</v>
      </c>
      <c r="B17" s="10" t="s">
        <v>72</v>
      </c>
      <c r="C17" s="14" t="str">
        <f aca="false">INDEX(Markets!$F$5:$F$10,MATCH(B17,Markets!$A$5:$A$10,0))</f>
        <v>A320</v>
      </c>
      <c r="D17" s="15" t="n">
        <v>0.270833333333333</v>
      </c>
      <c r="E17" s="16" t="n">
        <f aca="false">INDEX(Route_PnL!$D$5:$D$10,MATCH(B17,Route_PnL!$A$5:$A$10,0))</f>
        <v>0.8625</v>
      </c>
      <c r="F17" s="17" t="n">
        <f aca="false">D17+E17/24</f>
        <v>0.306770833333333</v>
      </c>
      <c r="G17" s="17" t="n">
        <f aca="false">F17+INDEX(Inputs!$G$14:$G$15,MATCH(C17,Inputs!$A$14:$A$15,0))/1440</f>
        <v>0.338020833333333</v>
      </c>
      <c r="H17" s="17" t="n">
        <f aca="false">G17+E17/24</f>
        <v>0.373958333333333</v>
      </c>
      <c r="I17" s="18" t="n">
        <f aca="false">SUMPRODUCT(($D$5:$D$27-H17&gt;=Inputs!$B$7/1440)*($D$5:$D$27-H17&lt;=Inputs!$B$8/1440)*($B$5:$B$27&lt;&gt;B17))</f>
        <v>5</v>
      </c>
      <c r="J17" s="18" t="n">
        <f aca="false">SUMPRODUCT((D17-$H$5:$H$27&gt;=Inputs!$B$7/1440)*(D17-$H$5:$H$27&lt;=Inputs!$B$8/1440)*($B$5:$B$27&lt;&gt;B17))</f>
        <v>0</v>
      </c>
      <c r="K17" s="12" t="str">
        <f aca="false">IF(AND(I17=0,H17&lt;MAX($D$5:$D$27)),"! arrival misses every onward bank",IF(AND(J17=0,D17&gt;MIN($H$5:$H$27)),"! departure has no feeder","OK"))</f>
        <v>OK</v>
      </c>
    </row>
    <row r="18" customFormat="false" ht="15" hidden="false" customHeight="false" outlineLevel="0" collapsed="false">
      <c r="A18" s="9" t="s">
        <v>105</v>
      </c>
      <c r="B18" s="10" t="s">
        <v>72</v>
      </c>
      <c r="C18" s="14" t="str">
        <f aca="false">INDEX(Markets!$F$5:$F$10,MATCH(B18,Markets!$A$5:$A$10,0))</f>
        <v>A320</v>
      </c>
      <c r="D18" s="15" t="n">
        <v>0.604166666666667</v>
      </c>
      <c r="E18" s="16" t="n">
        <f aca="false">INDEX(Route_PnL!$D$5:$D$10,MATCH(B18,Route_PnL!$A$5:$A$10,0))</f>
        <v>0.8625</v>
      </c>
      <c r="F18" s="17" t="n">
        <f aca="false">D18+E18/24</f>
        <v>0.640104166666667</v>
      </c>
      <c r="G18" s="17" t="n">
        <f aca="false">F18+INDEX(Inputs!$G$14:$G$15,MATCH(C18,Inputs!$A$14:$A$15,0))/1440</f>
        <v>0.671354166666667</v>
      </c>
      <c r="H18" s="17" t="n">
        <f aca="false">G18+E18/24</f>
        <v>0.707291666666667</v>
      </c>
      <c r="I18" s="18" t="n">
        <f aca="false">SUMPRODUCT(($D$5:$D$27-H18&gt;=Inputs!$B$7/1440)*($D$5:$D$27-H18&lt;=Inputs!$B$8/1440)*($B$5:$B$27&lt;&gt;B18))</f>
        <v>4</v>
      </c>
      <c r="J18" s="18" t="n">
        <f aca="false">SUMPRODUCT((D18-$H$5:$H$27&gt;=Inputs!$B$7/1440)*(D18-$H$5:$H$27&lt;=Inputs!$B$8/1440)*($B$5:$B$27&lt;&gt;B18))</f>
        <v>4</v>
      </c>
      <c r="K18" s="12" t="str">
        <f aca="false">IF(AND(I18=0,H18&lt;MAX($D$5:$D$27)),"! arrival misses every onward bank",IF(AND(J18=0,D18&gt;MIN($H$5:$H$27)),"! departure has no feeder","OK"))</f>
        <v>OK</v>
      </c>
    </row>
    <row r="19" customFormat="false" ht="15" hidden="false" customHeight="false" outlineLevel="0" collapsed="false">
      <c r="A19" s="9" t="s">
        <v>106</v>
      </c>
      <c r="B19" s="10" t="s">
        <v>72</v>
      </c>
      <c r="C19" s="14" t="str">
        <f aca="false">INDEX(Markets!$F$5:$F$10,MATCH(B19,Markets!$A$5:$A$10,0))</f>
        <v>A320</v>
      </c>
      <c r="D19" s="15" t="n">
        <v>0.770833333333333</v>
      </c>
      <c r="E19" s="16" t="n">
        <f aca="false">INDEX(Route_PnL!$D$5:$D$10,MATCH(B19,Route_PnL!$A$5:$A$10,0))</f>
        <v>0.8625</v>
      </c>
      <c r="F19" s="17" t="n">
        <f aca="false">D19+E19/24</f>
        <v>0.806770833333333</v>
      </c>
      <c r="G19" s="17" t="n">
        <f aca="false">F19+INDEX(Inputs!$G$14:$G$15,MATCH(C19,Inputs!$A$14:$A$15,0))/1440</f>
        <v>0.838020833333333</v>
      </c>
      <c r="H19" s="17" t="n">
        <f aca="false">G19+E19/24</f>
        <v>0.873958333333333</v>
      </c>
      <c r="I19" s="18" t="n">
        <f aca="false">SUMPRODUCT(($D$5:$D$27-H19&gt;=Inputs!$B$7/1440)*($D$5:$D$27-H19&lt;=Inputs!$B$8/1440)*($B$5:$B$27&lt;&gt;B19))</f>
        <v>0</v>
      </c>
      <c r="J19" s="18" t="n">
        <f aca="false">SUMPRODUCT((D19-$H$5:$H$27&gt;=Inputs!$B$7/1440)*(D19-$H$5:$H$27&lt;=Inputs!$B$8/1440)*($B$5:$B$27&lt;&gt;B19))</f>
        <v>5</v>
      </c>
      <c r="K19" s="12" t="str">
        <f aca="false">IF(AND(I19=0,H19&lt;MAX($D$5:$D$27)),"! arrival misses every onward bank",IF(AND(J19=0,D19&gt;MIN($H$5:$H$27)),"! departure has no feeder","OK"))</f>
        <v>OK</v>
      </c>
    </row>
    <row r="20" customFormat="false" ht="15" hidden="false" customHeight="false" outlineLevel="0" collapsed="false">
      <c r="A20" s="9" t="s">
        <v>107</v>
      </c>
      <c r="B20" s="10" t="s">
        <v>75</v>
      </c>
      <c r="C20" s="14" t="str">
        <f aca="false">INDEX(Markets!$F$5:$F$10,MATCH(B20,Markets!$A$5:$A$10,0))</f>
        <v>A320</v>
      </c>
      <c r="D20" s="15" t="n">
        <v>0.270833333333333</v>
      </c>
      <c r="E20" s="16" t="n">
        <f aca="false">INDEX(Route_PnL!$D$5:$D$10,MATCH(B20,Route_PnL!$A$5:$A$10,0))</f>
        <v>1.10625</v>
      </c>
      <c r="F20" s="17" t="n">
        <f aca="false">D20+E20/24</f>
        <v>0.316927083333322</v>
      </c>
      <c r="G20" s="17" t="n">
        <f aca="false">F20+INDEX(Inputs!$G$14:$G$15,MATCH(C20,Inputs!$A$14:$A$15,0))/1440</f>
        <v>0.348177083333322</v>
      </c>
      <c r="H20" s="17" t="n">
        <f aca="false">G20+E20/24</f>
        <v>0.394270833333333</v>
      </c>
      <c r="I20" s="18" t="n">
        <f aca="false">SUMPRODUCT(($D$5:$D$27-H20&gt;=Inputs!$B$7/1440)*($D$5:$D$27-H20&lt;=Inputs!$B$8/1440)*($B$5:$B$27&lt;&gt;B20))</f>
        <v>4</v>
      </c>
      <c r="J20" s="18" t="n">
        <f aca="false">SUMPRODUCT((D20-$H$5:$H$27&gt;=Inputs!$B$7/1440)*(D20-$H$5:$H$27&lt;=Inputs!$B$8/1440)*($B$5:$B$27&lt;&gt;B20))</f>
        <v>0</v>
      </c>
      <c r="K20" s="12" t="str">
        <f aca="false">IF(AND(I20=0,H20&lt;MAX($D$5:$D$27)),"! arrival misses every onward bank",IF(AND(J20=0,D20&gt;MIN($H$5:$H$27)),"! departure has no feeder","OK"))</f>
        <v>OK</v>
      </c>
    </row>
    <row r="21" customFormat="false" ht="15" hidden="false" customHeight="false" outlineLevel="0" collapsed="false">
      <c r="A21" s="9" t="s">
        <v>108</v>
      </c>
      <c r="B21" s="10" t="s">
        <v>75</v>
      </c>
      <c r="C21" s="14" t="str">
        <f aca="false">INDEX(Markets!$F$5:$F$10,MATCH(B21,Markets!$A$5:$A$10,0))</f>
        <v>A320</v>
      </c>
      <c r="D21" s="15" t="n">
        <v>0.4375</v>
      </c>
      <c r="E21" s="16" t="n">
        <f aca="false">INDEX(Route_PnL!$D$5:$D$10,MATCH(B21,Route_PnL!$A$5:$A$10,0))</f>
        <v>1.10625</v>
      </c>
      <c r="F21" s="17" t="n">
        <f aca="false">D21+E21/24</f>
        <v>0.48359375</v>
      </c>
      <c r="G21" s="17" t="n">
        <f aca="false">F21+INDEX(Inputs!$G$14:$G$15,MATCH(C21,Inputs!$A$14:$A$15,0))/1440</f>
        <v>0.51484375</v>
      </c>
      <c r="H21" s="17" t="n">
        <f aca="false">G21+E21/24</f>
        <v>0.5609375</v>
      </c>
      <c r="I21" s="18" t="n">
        <f aca="false">SUMPRODUCT(($D$5:$D$27-H21&gt;=Inputs!$B$7/1440)*($D$5:$D$27-H21&lt;=Inputs!$B$8/1440)*($B$5:$B$27&lt;&gt;B21))</f>
        <v>5</v>
      </c>
      <c r="J21" s="18" t="n">
        <f aca="false">SUMPRODUCT((D21-$H$5:$H$27&gt;=Inputs!$B$7/1440)*(D21-$H$5:$H$27&lt;=Inputs!$B$8/1440)*($B$5:$B$27&lt;&gt;B21))</f>
        <v>4</v>
      </c>
      <c r="K21" s="12" t="str">
        <f aca="false">IF(AND(I21=0,H21&lt;MAX($D$5:$D$27)),"! arrival misses every onward bank",IF(AND(J21=0,D21&gt;MIN($H$5:$H$27)),"! departure has no feeder","OK"))</f>
        <v>OK</v>
      </c>
    </row>
    <row r="22" customFormat="false" ht="15" hidden="false" customHeight="false" outlineLevel="0" collapsed="false">
      <c r="A22" s="9" t="s">
        <v>109</v>
      </c>
      <c r="B22" s="10" t="s">
        <v>75</v>
      </c>
      <c r="C22" s="14" t="str">
        <f aca="false">INDEX(Markets!$F$5:$F$10,MATCH(B22,Markets!$A$5:$A$10,0))</f>
        <v>A320</v>
      </c>
      <c r="D22" s="15" t="n">
        <v>0.604166666666667</v>
      </c>
      <c r="E22" s="16" t="n">
        <f aca="false">INDEX(Route_PnL!$D$5:$D$10,MATCH(B22,Route_PnL!$A$5:$A$10,0))</f>
        <v>1.10625</v>
      </c>
      <c r="F22" s="17" t="n">
        <f aca="false">D22+E22/24</f>
        <v>0.650260416666667</v>
      </c>
      <c r="G22" s="17" t="n">
        <f aca="false">F22+INDEX(Inputs!$G$14:$G$15,MATCH(C22,Inputs!$A$14:$A$15,0))/1440</f>
        <v>0.681510416666667</v>
      </c>
      <c r="H22" s="17" t="n">
        <f aca="false">G22+E22/24</f>
        <v>0.727604166666667</v>
      </c>
      <c r="I22" s="18" t="n">
        <f aca="false">SUMPRODUCT(($D$5:$D$27-H22&gt;=Inputs!$B$7/1440)*($D$5:$D$27-H22&lt;=Inputs!$B$8/1440)*($B$5:$B$27&lt;&gt;B22))</f>
        <v>5</v>
      </c>
      <c r="J22" s="18" t="n">
        <f aca="false">SUMPRODUCT((D22-$H$5:$H$27&gt;=Inputs!$B$7/1440)*(D22-$H$5:$H$27&lt;=Inputs!$B$8/1440)*($B$5:$B$27&lt;&gt;B22))</f>
        <v>3</v>
      </c>
      <c r="K22" s="12" t="str">
        <f aca="false">IF(AND(I22=0,H22&lt;MAX($D$5:$D$27)),"! arrival misses every onward bank",IF(AND(J22=0,D22&gt;MIN($H$5:$H$27)),"! departure has no feeder","OK"))</f>
        <v>OK</v>
      </c>
    </row>
    <row r="23" customFormat="false" ht="15" hidden="false" customHeight="false" outlineLevel="0" collapsed="false">
      <c r="A23" s="9" t="s">
        <v>110</v>
      </c>
      <c r="B23" s="10" t="s">
        <v>78</v>
      </c>
      <c r="C23" s="14" t="str">
        <f aca="false">INDEX(Markets!$F$5:$F$10,MATCH(B23,Markets!$A$5:$A$10,0))</f>
        <v>A320</v>
      </c>
      <c r="D23" s="15" t="n">
        <v>0.270833333333333</v>
      </c>
      <c r="E23" s="16" t="n">
        <f aca="false">INDEX(Route_PnL!$D$5:$D$10,MATCH(B23,Route_PnL!$A$5:$A$10,0))</f>
        <v>1.55625</v>
      </c>
      <c r="F23" s="17" t="n">
        <f aca="false">D23+E23/24</f>
        <v>0.335677083333322</v>
      </c>
      <c r="G23" s="17" t="n">
        <f aca="false">F23+INDEX(Inputs!$G$14:$G$15,MATCH(C23,Inputs!$A$14:$A$15,0))/1440</f>
        <v>0.366927083333322</v>
      </c>
      <c r="H23" s="17" t="n">
        <f aca="false">G23+E23/24</f>
        <v>0.431770833333333</v>
      </c>
      <c r="I23" s="18" t="n">
        <f aca="false">SUMPRODUCT(($D$5:$D$27-H23&gt;=Inputs!$B$7/1440)*($D$5:$D$27-H23&lt;=Inputs!$B$8/1440)*($B$5:$B$27&lt;&gt;B23))</f>
        <v>0</v>
      </c>
      <c r="J23" s="18" t="n">
        <f aca="false">SUMPRODUCT((D23-$H$5:$H$27&gt;=Inputs!$B$7/1440)*(D23-$H$5:$H$27&lt;=Inputs!$B$8/1440)*($B$5:$B$27&lt;&gt;B23))</f>
        <v>0</v>
      </c>
      <c r="K23" s="12" t="str">
        <f aca="false">IF(AND(I23=0,H23&lt;MAX($D$5:$D$27)),"! arrival misses every onward bank",IF(AND(J23=0,D23&gt;MIN($H$5:$H$27)),"! departure has no feeder","OK"))</f>
        <v>! arrival misses every onward bank</v>
      </c>
    </row>
    <row r="24" customFormat="false" ht="15" hidden="false" customHeight="false" outlineLevel="0" collapsed="false">
      <c r="A24" s="9" t="s">
        <v>111</v>
      </c>
      <c r="B24" s="10" t="s">
        <v>78</v>
      </c>
      <c r="C24" s="14" t="str">
        <f aca="false">INDEX(Markets!$F$5:$F$10,MATCH(B24,Markets!$A$5:$A$10,0))</f>
        <v>A320</v>
      </c>
      <c r="D24" s="15" t="n">
        <v>0.4375</v>
      </c>
      <c r="E24" s="16" t="n">
        <f aca="false">INDEX(Route_PnL!$D$5:$D$10,MATCH(B24,Route_PnL!$A$5:$A$10,0))</f>
        <v>1.55625</v>
      </c>
      <c r="F24" s="17" t="n">
        <f aca="false">D24+E24/24</f>
        <v>0.50234375</v>
      </c>
      <c r="G24" s="17" t="n">
        <f aca="false">F24+INDEX(Inputs!$G$14:$G$15,MATCH(C24,Inputs!$A$14:$A$15,0))/1440</f>
        <v>0.53359375</v>
      </c>
      <c r="H24" s="17" t="n">
        <f aca="false">G24+E24/24</f>
        <v>0.5984375</v>
      </c>
      <c r="I24" s="18" t="n">
        <f aca="false">SUMPRODUCT(($D$5:$D$27-H24&gt;=Inputs!$B$7/1440)*($D$5:$D$27-H24&lt;=Inputs!$B$8/1440)*($B$5:$B$27&lt;&gt;B24))</f>
        <v>0</v>
      </c>
      <c r="J24" s="18" t="n">
        <f aca="false">SUMPRODUCT((D24-$H$5:$H$27&gt;=Inputs!$B$7/1440)*(D24-$H$5:$H$27&lt;=Inputs!$B$8/1440)*($B$5:$B$27&lt;&gt;B24))</f>
        <v>5</v>
      </c>
      <c r="K24" s="12" t="str">
        <f aca="false">IF(AND(I24=0,H24&lt;MAX($D$5:$D$27)),"! arrival misses every onward bank",IF(AND(J24=0,D24&gt;MIN($H$5:$H$27)),"! departure has no feeder","OK"))</f>
        <v>! arrival misses every onward bank</v>
      </c>
    </row>
    <row r="25" customFormat="false" ht="15" hidden="false" customHeight="false" outlineLevel="0" collapsed="false">
      <c r="A25" s="9" t="s">
        <v>112</v>
      </c>
      <c r="B25" s="10" t="s">
        <v>78</v>
      </c>
      <c r="C25" s="14" t="str">
        <f aca="false">INDEX(Markets!$F$5:$F$10,MATCH(B25,Markets!$A$5:$A$10,0))</f>
        <v>A320</v>
      </c>
      <c r="D25" s="15" t="n">
        <v>0.520833333333333</v>
      </c>
      <c r="E25" s="16" t="n">
        <f aca="false">INDEX(Route_PnL!$D$5:$D$10,MATCH(B25,Route_PnL!$A$5:$A$10,0))</f>
        <v>1.55625</v>
      </c>
      <c r="F25" s="17" t="n">
        <f aca="false">D25+E25/24</f>
        <v>0.585677083333333</v>
      </c>
      <c r="G25" s="17" t="n">
        <f aca="false">F25+INDEX(Inputs!$G$14:$G$15,MATCH(C25,Inputs!$A$14:$A$15,0))/1440</f>
        <v>0.616927083333333</v>
      </c>
      <c r="H25" s="17" t="n">
        <f aca="false">G25+E25/24</f>
        <v>0.681770833333333</v>
      </c>
      <c r="I25" s="18" t="n">
        <f aca="false">SUMPRODUCT(($D$5:$D$27-H25&gt;=Inputs!$B$7/1440)*($D$5:$D$27-H25&lt;=Inputs!$B$8/1440)*($B$5:$B$27&lt;&gt;B25))</f>
        <v>4</v>
      </c>
      <c r="J25" s="18" t="n">
        <f aca="false">SUMPRODUCT((D25-$H$5:$H$27&gt;=Inputs!$B$7/1440)*(D25-$H$5:$H$27&lt;=Inputs!$B$8/1440)*($B$5:$B$27&lt;&gt;B25))</f>
        <v>2</v>
      </c>
      <c r="K25" s="12" t="str">
        <f aca="false">IF(AND(I25=0,H25&lt;MAX($D$5:$D$27)),"! arrival misses every onward bank",IF(AND(J25=0,D25&gt;MIN($H$5:$H$27)),"! departure has no feeder","OK"))</f>
        <v>OK</v>
      </c>
    </row>
    <row r="26" customFormat="false" ht="15" hidden="false" customHeight="false" outlineLevel="0" collapsed="false">
      <c r="A26" s="9" t="s">
        <v>113</v>
      </c>
      <c r="B26" s="10" t="s">
        <v>78</v>
      </c>
      <c r="C26" s="14" t="str">
        <f aca="false">INDEX(Markets!$F$5:$F$10,MATCH(B26,Markets!$A$5:$A$10,0))</f>
        <v>A320</v>
      </c>
      <c r="D26" s="15" t="n">
        <v>0.604166666666667</v>
      </c>
      <c r="E26" s="16" t="n">
        <f aca="false">INDEX(Route_PnL!$D$5:$D$10,MATCH(B26,Route_PnL!$A$5:$A$10,0))</f>
        <v>1.55625</v>
      </c>
      <c r="F26" s="17" t="n">
        <f aca="false">D26+E26/24</f>
        <v>0.669010416666655</v>
      </c>
      <c r="G26" s="17" t="n">
        <f aca="false">F26+INDEX(Inputs!$G$14:$G$15,MATCH(C26,Inputs!$A$14:$A$15,0))/1440</f>
        <v>0.700260416666655</v>
      </c>
      <c r="H26" s="17" t="n">
        <f aca="false">G26+E26/24</f>
        <v>0.765104166666667</v>
      </c>
      <c r="I26" s="18" t="n">
        <f aca="false">SUMPRODUCT(($D$5:$D$27-H26&gt;=Inputs!$B$7/1440)*($D$5:$D$27-H26&lt;=Inputs!$B$8/1440)*($B$5:$B$27&lt;&gt;B26))</f>
        <v>0</v>
      </c>
      <c r="J26" s="18" t="n">
        <f aca="false">SUMPRODUCT((D26-$H$5:$H$27&gt;=Inputs!$B$7/1440)*(D26-$H$5:$H$27&lt;=Inputs!$B$8/1440)*($B$5:$B$27&lt;&gt;B26))</f>
        <v>4</v>
      </c>
      <c r="K26" s="12" t="str">
        <f aca="false">IF(AND(I26=0,H26&lt;MAX($D$5:$D$27)),"! arrival misses every onward bank",IF(AND(J26=0,D26&gt;MIN($H$5:$H$27)),"! departure has no feeder","OK"))</f>
        <v>! arrival misses every onward bank</v>
      </c>
    </row>
    <row r="27" customFormat="false" ht="15" hidden="false" customHeight="false" outlineLevel="0" collapsed="false">
      <c r="A27" s="9" t="s">
        <v>114</v>
      </c>
      <c r="B27" s="10" t="s">
        <v>78</v>
      </c>
      <c r="C27" s="14" t="str">
        <f aca="false">INDEX(Markets!$F$5:$F$10,MATCH(B27,Markets!$A$5:$A$10,0))</f>
        <v>A320</v>
      </c>
      <c r="D27" s="15" t="n">
        <v>0.770833333333333</v>
      </c>
      <c r="E27" s="16" t="n">
        <f aca="false">INDEX(Route_PnL!$D$5:$D$10,MATCH(B27,Route_PnL!$A$5:$A$10,0))</f>
        <v>1.55625</v>
      </c>
      <c r="F27" s="17" t="n">
        <f aca="false">D27+E27/24</f>
        <v>0.835677083333333</v>
      </c>
      <c r="G27" s="17" t="n">
        <f aca="false">F27+INDEX(Inputs!$G$14:$G$15,MATCH(C27,Inputs!$A$14:$A$15,0))/1440</f>
        <v>0.866927083333322</v>
      </c>
      <c r="H27" s="17" t="n">
        <f aca="false">G27+E27/24</f>
        <v>0.931770833333333</v>
      </c>
      <c r="I27" s="18" t="n">
        <f aca="false">SUMPRODUCT(($D$5:$D$27-H27&gt;=Inputs!$B$7/1440)*($D$5:$D$27-H27&lt;=Inputs!$B$8/1440)*($B$5:$B$27&lt;&gt;B27))</f>
        <v>0</v>
      </c>
      <c r="J27" s="18" t="n">
        <f aca="false">SUMPRODUCT((D27-$H$5:$H$27&gt;=Inputs!$B$7/1440)*(D27-$H$5:$H$27&lt;=Inputs!$B$8/1440)*($B$5:$B$27&lt;&gt;B27))</f>
        <v>5</v>
      </c>
      <c r="K27" s="12" t="str">
        <f aca="false">IF(AND(I27=0,H27&lt;MAX($D$5:$D$27)),"! arrival misses every onward bank",IF(AND(J27=0,D27&gt;MIN($H$5:$H$27)),"! departure has no feeder","OK"))</f>
        <v>OK</v>
      </c>
    </row>
    <row r="29" customFormat="false" ht="15" hidden="false" customHeight="false" outlineLevel="0" collapsed="false">
      <c r="A29" s="5" t="s">
        <v>115</v>
      </c>
    </row>
  </sheetData>
  <conditionalFormatting sqref="K5:K27">
    <cfRule type="expression" priority="2" aboveAverage="0" equalAverage="0" bottom="0" percent="0" rank="0" text="" dxfId="0">
      <formula>LEFT(K5,1)="!"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5"/>
    <col collapsed="false" customWidth="true" hidden="false" outlineLevel="0" max="23" min="23" style="0" width="44"/>
    <col collapsed="false" customWidth="true" hidden="false" outlineLevel="0" max="24" min="24" style="0" width="24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5" t="s">
        <v>117</v>
      </c>
    </row>
    <row r="4" customFormat="false" ht="42" hidden="false" customHeight="true" outlineLevel="0" collapsed="false">
      <c r="A4" s="8" t="s">
        <v>56</v>
      </c>
      <c r="B4" s="8" t="s">
        <v>44</v>
      </c>
      <c r="C4" s="8" t="s">
        <v>45</v>
      </c>
      <c r="D4" s="8" t="s">
        <v>118</v>
      </c>
      <c r="E4" s="8" t="s">
        <v>119</v>
      </c>
      <c r="F4" s="8" t="s">
        <v>120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125</v>
      </c>
      <c r="L4" s="8" t="s">
        <v>126</v>
      </c>
      <c r="M4" s="8" t="s">
        <v>127</v>
      </c>
      <c r="N4" s="8" t="s">
        <v>128</v>
      </c>
      <c r="O4" s="8" t="s">
        <v>129</v>
      </c>
      <c r="P4" s="8" t="s">
        <v>130</v>
      </c>
      <c r="Q4" s="8" t="s">
        <v>131</v>
      </c>
      <c r="R4" s="8" t="s">
        <v>132</v>
      </c>
      <c r="S4" s="8" t="s">
        <v>133</v>
      </c>
      <c r="T4" s="8" t="s">
        <v>134</v>
      </c>
      <c r="U4" s="8" t="s">
        <v>135</v>
      </c>
      <c r="V4" s="8" t="s">
        <v>136</v>
      </c>
      <c r="W4" s="8" t="s">
        <v>137</v>
      </c>
      <c r="X4" s="8" t="s">
        <v>138</v>
      </c>
    </row>
    <row r="5" customFormat="false" ht="15" hidden="false" customHeight="false" outlineLevel="0" collapsed="false">
      <c r="A5" s="14" t="str">
        <f aca="false">Markets!A5</f>
        <v>TRV</v>
      </c>
      <c r="B5" s="14" t="str">
        <f aca="false">Markets!F5</f>
        <v>A320</v>
      </c>
      <c r="C5" s="19" t="n">
        <f aca="false">INDEX(Inputs!$B$14:$B$15,MATCH(B5,Inputs!$A$14:$A$15,0))</f>
        <v>180</v>
      </c>
      <c r="D5" s="20" t="n">
        <f aca="false">Markets!C5/INDEX(Inputs!$C$14:$C$15,MATCH(B5,Inputs!$A$14:$A$15,0))+INDEX(Inputs!$D$14:$D$15,MATCH(B5,Inputs!$A$14:$A$15,0))</f>
        <v>1.13125</v>
      </c>
      <c r="E5" s="18" t="n">
        <f aca="false">COUNTIF(Schedule!$B$5:$B$27,A5)</f>
        <v>4</v>
      </c>
      <c r="F5" s="18" t="n">
        <f aca="false">MAX(0,E5+Markets!G5)</f>
        <v>4</v>
      </c>
      <c r="G5" s="18" t="n">
        <f aca="false">F5*C5</f>
        <v>720</v>
      </c>
      <c r="H5" s="18" t="n">
        <f aca="false">Markets!D5*(1+Inputs!$B$4)</f>
        <v>640</v>
      </c>
      <c r="I5" s="18" t="n">
        <f aca="false">MIN(G5,H5)</f>
        <v>640</v>
      </c>
      <c r="J5" s="18" t="n">
        <f aca="false">MAX(0,H5-G5)</f>
        <v>0</v>
      </c>
      <c r="K5" s="21" t="n">
        <f aca="false">IF(G5=0,0,I5/G5)</f>
        <v>0.888888888888889</v>
      </c>
      <c r="L5" s="22" t="n">
        <f aca="false">Markets!E5*(1+Inputs!$B$5)</f>
        <v>4500</v>
      </c>
      <c r="M5" s="22" t="n">
        <f aca="false">I5*L5*2</f>
        <v>5760000</v>
      </c>
      <c r="N5" s="22" t="n">
        <f aca="false">F5*2*(D5*INDEX(Inputs!$E$14:$E$15,MATCH(B5,Inputs!$A$14:$A$15,0))+INDEX(Inputs!$F$14:$F$15,MATCH(B5,Inputs!$A$14:$A$15,0)))*(1+Inputs!$B$6)</f>
        <v>5544000</v>
      </c>
      <c r="O5" s="22" t="n">
        <f aca="false">M5-N5</f>
        <v>216000</v>
      </c>
      <c r="P5" s="18" t="n">
        <f aca="false">G5*Markets!C5*2</f>
        <v>727200</v>
      </c>
      <c r="Q5" s="18" t="n">
        <f aca="false">I5*Markets!C5*2</f>
        <v>646400</v>
      </c>
      <c r="R5" s="23" t="n">
        <f aca="false">IF(P5=0,0,M5/P5)</f>
        <v>7.92079207920792</v>
      </c>
      <c r="S5" s="23" t="n">
        <f aca="false">IF(P5=0,0,N5/P5)</f>
        <v>7.62376237623762</v>
      </c>
      <c r="T5" s="23" t="n">
        <f aca="false">IF(Q5=0,0,M5/Q5)</f>
        <v>8.91089108910891</v>
      </c>
      <c r="U5" s="21" t="n">
        <f aca="false">IF(G5*L5=0,0,N5/(L5*G5*2))</f>
        <v>0.855555555555556</v>
      </c>
      <c r="V5" s="21" t="n">
        <f aca="false">K5-U5</f>
        <v>0.0333333333333333</v>
      </c>
      <c r="W5" s="9" t="str">
        <f aca="false">IF(AND(J5&gt;Inputs!$B$9*H5,X5&gt;0),"ADD capacity / upgauge",IF(J5&gt;Inputs!$B$9*H5,"HOLD: spill too small to fill another flight - test pricing",IF(O5&lt;0,"REVIEW: losing money - downgauge or cut",IF(V5&lt;Inputs!$B$10,"WATCH: thin margin","HOLD"))))</f>
        <v>HOLD</v>
      </c>
      <c r="X5" s="22" t="n">
        <f aca="false">(MIN((F5+1)*C5,H5)*L5*2-(F5+1)*2*(D5*INDEX(Inputs!$E$14:$E$15,MATCH(B5,Inputs!$A$14:$A$15,0))+INDEX(Inputs!$F$14:$F$15,MATCH(B5,Inputs!$A$14:$A$15,0)))*(1+Inputs!$B$6))-O5</f>
        <v>-1386000</v>
      </c>
    </row>
    <row r="6" customFormat="false" ht="15" hidden="false" customHeight="false" outlineLevel="0" collapsed="false">
      <c r="A6" s="14" t="str">
        <f aca="false">Markets!A6</f>
        <v>COK</v>
      </c>
      <c r="B6" s="14" t="str">
        <f aca="false">Markets!F6</f>
        <v>ATR72</v>
      </c>
      <c r="C6" s="19" t="n">
        <f aca="false">INDEX(Inputs!$B$14:$B$15,MATCH(B6,Inputs!$A$14:$A$15,0))</f>
        <v>78</v>
      </c>
      <c r="D6" s="20" t="n">
        <f aca="false">Markets!C6/INDEX(Inputs!$C$14:$C$15,MATCH(B6,Inputs!$A$14:$A$15,0))+INDEX(Inputs!$D$14:$D$15,MATCH(B6,Inputs!$A$14:$A$15,0))</f>
        <v>1.08</v>
      </c>
      <c r="E6" s="18" t="n">
        <f aca="false">COUNTIF(Schedule!$B$5:$B$27,A6)</f>
        <v>4</v>
      </c>
      <c r="F6" s="18" t="n">
        <f aca="false">MAX(0,E6+Markets!G6)</f>
        <v>4</v>
      </c>
      <c r="G6" s="18" t="n">
        <f aca="false">F6*C6</f>
        <v>312</v>
      </c>
      <c r="H6" s="18" t="n">
        <f aca="false">Markets!D6*(1+Inputs!$B$4)</f>
        <v>300</v>
      </c>
      <c r="I6" s="18" t="n">
        <f aca="false">MIN(G6,H6)</f>
        <v>300</v>
      </c>
      <c r="J6" s="18" t="n">
        <f aca="false">MAX(0,H6-G6)</f>
        <v>0</v>
      </c>
      <c r="K6" s="21" t="n">
        <f aca="false">IF(G6=0,0,I6/G6)</f>
        <v>0.961538461538462</v>
      </c>
      <c r="L6" s="22" t="n">
        <f aca="false">Markets!E6*(1+Inputs!$B$5)</f>
        <v>3200</v>
      </c>
      <c r="M6" s="22" t="n">
        <f aca="false">I6*L6*2</f>
        <v>1920000</v>
      </c>
      <c r="N6" s="22" t="n">
        <f aca="false">F6*2*(D6*INDEX(Inputs!$E$14:$E$15,MATCH(B6,Inputs!$A$14:$A$15,0))+INDEX(Inputs!$F$14:$F$15,MATCH(B6,Inputs!$A$14:$A$15,0)))*(1+Inputs!$B$6)</f>
        <v>1696000</v>
      </c>
      <c r="O6" s="22" t="n">
        <f aca="false">M6-N6</f>
        <v>224000</v>
      </c>
      <c r="P6" s="18" t="n">
        <f aca="false">G6*Markets!C6*2</f>
        <v>212160</v>
      </c>
      <c r="Q6" s="18" t="n">
        <f aca="false">I6*Markets!C6*2</f>
        <v>204000</v>
      </c>
      <c r="R6" s="23" t="n">
        <f aca="false">IF(P6=0,0,M6/P6)</f>
        <v>9.04977375565611</v>
      </c>
      <c r="S6" s="23" t="n">
        <f aca="false">IF(P6=0,0,N6/P6)</f>
        <v>7.99396681749623</v>
      </c>
      <c r="T6" s="23" t="n">
        <f aca="false">IF(Q6=0,0,M6/Q6)</f>
        <v>9.41176470588235</v>
      </c>
      <c r="U6" s="21" t="n">
        <f aca="false">IF(G6*L6=0,0,N6/(L6*G6*2))</f>
        <v>0.849358974358974</v>
      </c>
      <c r="V6" s="21" t="n">
        <f aca="false">K6-U6</f>
        <v>0.112179487179487</v>
      </c>
      <c r="W6" s="9" t="str">
        <f aca="false">IF(AND(J6&gt;Inputs!$B$9*H6,X6&gt;0),"ADD capacity / upgauge",IF(J6&gt;Inputs!$B$9*H6,"HOLD: spill too small to fill another flight - test pricing",IF(O6&lt;0,"REVIEW: losing money - downgauge or cut",IF(V6&lt;Inputs!$B$10,"WATCH: thin margin","HOLD"))))</f>
        <v>HOLD</v>
      </c>
      <c r="X6" s="22" t="n">
        <f aca="false">(MIN((F6+1)*C6,H6)*L6*2-(F6+1)*2*(D6*INDEX(Inputs!$E$14:$E$15,MATCH(B6,Inputs!$A$14:$A$15,0))+INDEX(Inputs!$F$14:$F$15,MATCH(B6,Inputs!$A$14:$A$15,0)))*(1+Inputs!$B$6))-O6</f>
        <v>-424000</v>
      </c>
    </row>
    <row r="7" customFormat="false" ht="15" hidden="false" customHeight="false" outlineLevel="0" collapsed="false">
      <c r="A7" s="14" t="str">
        <f aca="false">Markets!A7</f>
        <v>HYD</v>
      </c>
      <c r="B7" s="14" t="str">
        <f aca="false">Markets!F7</f>
        <v>A320</v>
      </c>
      <c r="C7" s="19" t="n">
        <f aca="false">INDEX(Inputs!$B$14:$B$15,MATCH(B7,Inputs!$A$14:$A$15,0))</f>
        <v>180</v>
      </c>
      <c r="D7" s="20" t="n">
        <f aca="false">Markets!C7/INDEX(Inputs!$C$14:$C$15,MATCH(B7,Inputs!$A$14:$A$15,0))+INDEX(Inputs!$D$14:$D$15,MATCH(B7,Inputs!$A$14:$A$15,0))</f>
        <v>1.125</v>
      </c>
      <c r="E7" s="18" t="n">
        <f aca="false">COUNTIF(Schedule!$B$5:$B$27,A7)</f>
        <v>4</v>
      </c>
      <c r="F7" s="18" t="n">
        <f aca="false">MAX(0,E7+Markets!G7)</f>
        <v>4</v>
      </c>
      <c r="G7" s="18" t="n">
        <f aca="false">F7*C7</f>
        <v>720</v>
      </c>
      <c r="H7" s="18" t="n">
        <f aca="false">Markets!D7*(1+Inputs!$B$4)</f>
        <v>640</v>
      </c>
      <c r="I7" s="18" t="n">
        <f aca="false">MIN(G7,H7)</f>
        <v>640</v>
      </c>
      <c r="J7" s="18" t="n">
        <f aca="false">MAX(0,H7-G7)</f>
        <v>0</v>
      </c>
      <c r="K7" s="21" t="n">
        <f aca="false">IF(G7=0,0,I7/G7)</f>
        <v>0.888888888888889</v>
      </c>
      <c r="L7" s="22" t="n">
        <f aca="false">Markets!E7*(1+Inputs!$B$5)</f>
        <v>4800</v>
      </c>
      <c r="M7" s="22" t="n">
        <f aca="false">I7*L7*2</f>
        <v>6144000</v>
      </c>
      <c r="N7" s="22" t="n">
        <f aca="false">F7*2*(D7*INDEX(Inputs!$E$14:$E$15,MATCH(B7,Inputs!$A$14:$A$15,0))+INDEX(Inputs!$F$14:$F$15,MATCH(B7,Inputs!$A$14:$A$15,0)))*(1+Inputs!$B$6)</f>
        <v>5520000</v>
      </c>
      <c r="O7" s="22" t="n">
        <f aca="false">M7-N7</f>
        <v>624000</v>
      </c>
      <c r="P7" s="18" t="n">
        <f aca="false">G7*Markets!C7*2</f>
        <v>720000</v>
      </c>
      <c r="Q7" s="18" t="n">
        <f aca="false">I7*Markets!C7*2</f>
        <v>640000</v>
      </c>
      <c r="R7" s="23" t="n">
        <f aca="false">IF(P7=0,0,M7/P7)</f>
        <v>8.53333333333333</v>
      </c>
      <c r="S7" s="23" t="n">
        <f aca="false">IF(P7=0,0,N7/P7)</f>
        <v>7.66666666666667</v>
      </c>
      <c r="T7" s="23" t="n">
        <f aca="false">IF(Q7=0,0,M7/Q7)</f>
        <v>9.6</v>
      </c>
      <c r="U7" s="21" t="n">
        <f aca="false">IF(G7*L7=0,0,N7/(L7*G7*2))</f>
        <v>0.798611111111111</v>
      </c>
      <c r="V7" s="21" t="n">
        <f aca="false">K7-U7</f>
        <v>0.0902777777777777</v>
      </c>
      <c r="W7" s="9" t="str">
        <f aca="false">IF(AND(J7&gt;Inputs!$B$9*H7,X7&gt;0),"ADD capacity / upgauge",IF(J7&gt;Inputs!$B$9*H7,"HOLD: spill too small to fill another flight - test pricing",IF(O7&lt;0,"REVIEW: losing money - downgauge or cut",IF(V7&lt;Inputs!$B$10,"WATCH: thin margin","HOLD"))))</f>
        <v>HOLD</v>
      </c>
      <c r="X7" s="22" t="n">
        <f aca="false">(MIN((F7+1)*C7,H7)*L7*2-(F7+1)*2*(D7*INDEX(Inputs!$E$14:$E$15,MATCH(B7,Inputs!$A$14:$A$15,0))+INDEX(Inputs!$F$14:$F$15,MATCH(B7,Inputs!$A$14:$A$15,0)))*(1+Inputs!$B$6))-O7</f>
        <v>-1380000</v>
      </c>
    </row>
    <row r="8" customFormat="false" ht="15" hidden="false" customHeight="false" outlineLevel="0" collapsed="false">
      <c r="A8" s="14" t="str">
        <f aca="false">Markets!A8</f>
        <v>MAA</v>
      </c>
      <c r="B8" s="14" t="str">
        <f aca="false">Markets!F8</f>
        <v>A320</v>
      </c>
      <c r="C8" s="19" t="n">
        <f aca="false">INDEX(Inputs!$B$14:$B$15,MATCH(B8,Inputs!$A$14:$A$15,0))</f>
        <v>180</v>
      </c>
      <c r="D8" s="20" t="n">
        <f aca="false">Markets!C8/INDEX(Inputs!$C$14:$C$15,MATCH(B8,Inputs!$A$14:$A$15,0))+INDEX(Inputs!$D$14:$D$15,MATCH(B8,Inputs!$A$14:$A$15,0))</f>
        <v>0.8625</v>
      </c>
      <c r="E8" s="18" t="n">
        <f aca="false">COUNTIF(Schedule!$B$5:$B$27,A8)</f>
        <v>3</v>
      </c>
      <c r="F8" s="18" t="n">
        <f aca="false">MAX(0,E8+Markets!G8)</f>
        <v>3</v>
      </c>
      <c r="G8" s="18" t="n">
        <f aca="false">F8*C8</f>
        <v>540</v>
      </c>
      <c r="H8" s="18" t="n">
        <f aca="false">Markets!D8*(1+Inputs!$B$4)</f>
        <v>480</v>
      </c>
      <c r="I8" s="18" t="n">
        <f aca="false">MIN(G8,H8)</f>
        <v>480</v>
      </c>
      <c r="J8" s="18" t="n">
        <f aca="false">MAX(0,H8-G8)</f>
        <v>0</v>
      </c>
      <c r="K8" s="21" t="n">
        <f aca="false">IF(G8=0,0,I8/G8)</f>
        <v>0.888888888888889</v>
      </c>
      <c r="L8" s="22" t="n">
        <f aca="false">Markets!E8*(1+Inputs!$B$5)</f>
        <v>3200</v>
      </c>
      <c r="M8" s="22" t="n">
        <f aca="false">I8*L8*2</f>
        <v>3072000</v>
      </c>
      <c r="N8" s="22" t="n">
        <f aca="false">F8*2*(D8*INDEX(Inputs!$E$14:$E$15,MATCH(B8,Inputs!$A$14:$A$15,0))+INDEX(Inputs!$F$14:$F$15,MATCH(B8,Inputs!$A$14:$A$15,0)))*(1+Inputs!$B$6)</f>
        <v>3384000</v>
      </c>
      <c r="O8" s="22" t="n">
        <f aca="false">M8-N8</f>
        <v>-312000</v>
      </c>
      <c r="P8" s="18" t="n">
        <f aca="false">G8*Markets!C8*2</f>
        <v>313200</v>
      </c>
      <c r="Q8" s="18" t="n">
        <f aca="false">I8*Markets!C8*2</f>
        <v>278400</v>
      </c>
      <c r="R8" s="23" t="n">
        <f aca="false">IF(P8=0,0,M8/P8)</f>
        <v>9.80842911877395</v>
      </c>
      <c r="S8" s="23" t="n">
        <f aca="false">IF(P8=0,0,N8/P8)</f>
        <v>10.8045977011494</v>
      </c>
      <c r="T8" s="23" t="n">
        <f aca="false">IF(Q8=0,0,M8/Q8)</f>
        <v>11.0344827586207</v>
      </c>
      <c r="U8" s="21" t="n">
        <f aca="false">IF(G8*L8=0,0,N8/(L8*G8*2))</f>
        <v>0.979166666666667</v>
      </c>
      <c r="V8" s="21" t="n">
        <f aca="false">K8-U8</f>
        <v>-0.0902777777777778</v>
      </c>
      <c r="W8" s="9" t="str">
        <f aca="false">IF(AND(J8&gt;Inputs!$B$9*H8,X8&gt;0),"ADD capacity / upgauge",IF(J8&gt;Inputs!$B$9*H8,"HOLD: spill too small to fill another flight - test pricing",IF(O8&lt;0,"REVIEW: losing money - downgauge or cut",IF(V8&lt;Inputs!$B$10,"WATCH: thin margin","HOLD"))))</f>
        <v>REVIEW: losing money - downgauge or cut</v>
      </c>
      <c r="X8" s="22" t="n">
        <f aca="false">(MIN((F8+1)*C8,H8)*L8*2-(F8+1)*2*(D8*INDEX(Inputs!$E$14:$E$15,MATCH(B8,Inputs!$A$14:$A$15,0))+INDEX(Inputs!$F$14:$F$15,MATCH(B8,Inputs!$A$14:$A$15,0)))*(1+Inputs!$B$6))-O8</f>
        <v>-1128000</v>
      </c>
    </row>
    <row r="9" customFormat="false" ht="15" hidden="false" customHeight="false" outlineLevel="0" collapsed="false">
      <c r="A9" s="14" t="str">
        <f aca="false">Markets!A9</f>
        <v>GOI</v>
      </c>
      <c r="B9" s="14" t="str">
        <f aca="false">Markets!F9</f>
        <v>A320</v>
      </c>
      <c r="C9" s="19" t="n">
        <f aca="false">INDEX(Inputs!$B$14:$B$15,MATCH(B9,Inputs!$A$14:$A$15,0))</f>
        <v>180</v>
      </c>
      <c r="D9" s="20" t="n">
        <f aca="false">Markets!C9/INDEX(Inputs!$C$14:$C$15,MATCH(B9,Inputs!$A$14:$A$15,0))+INDEX(Inputs!$D$14:$D$15,MATCH(B9,Inputs!$A$14:$A$15,0))</f>
        <v>1.10625</v>
      </c>
      <c r="E9" s="18" t="n">
        <f aca="false">COUNTIF(Schedule!$B$5:$B$27,A9)</f>
        <v>3</v>
      </c>
      <c r="F9" s="18" t="n">
        <f aca="false">MAX(0,E9+Markets!G9)</f>
        <v>3</v>
      </c>
      <c r="G9" s="18" t="n">
        <f aca="false">F9*C9</f>
        <v>540</v>
      </c>
      <c r="H9" s="18" t="n">
        <f aca="false">Markets!D9*(1+Inputs!$B$4)</f>
        <v>440</v>
      </c>
      <c r="I9" s="18" t="n">
        <f aca="false">MIN(G9,H9)</f>
        <v>440</v>
      </c>
      <c r="J9" s="18" t="n">
        <f aca="false">MAX(0,H9-G9)</f>
        <v>0</v>
      </c>
      <c r="K9" s="21" t="n">
        <f aca="false">IF(G9=0,0,I9/G9)</f>
        <v>0.814814814814815</v>
      </c>
      <c r="L9" s="22" t="n">
        <f aca="false">Markets!E9*(1+Inputs!$B$5)</f>
        <v>4500</v>
      </c>
      <c r="M9" s="22" t="n">
        <f aca="false">I9*L9*2</f>
        <v>3960000</v>
      </c>
      <c r="N9" s="22" t="n">
        <f aca="false">F9*2*(D9*INDEX(Inputs!$E$14:$E$15,MATCH(B9,Inputs!$A$14:$A$15,0))+INDEX(Inputs!$F$14:$F$15,MATCH(B9,Inputs!$A$14:$A$15,0)))*(1+Inputs!$B$6)</f>
        <v>4086000</v>
      </c>
      <c r="O9" s="22" t="n">
        <f aca="false">M9-N9</f>
        <v>-126000</v>
      </c>
      <c r="P9" s="18" t="n">
        <f aca="false">G9*Markets!C9*2</f>
        <v>523800</v>
      </c>
      <c r="Q9" s="18" t="n">
        <f aca="false">I9*Markets!C9*2</f>
        <v>426800</v>
      </c>
      <c r="R9" s="23" t="n">
        <f aca="false">IF(P9=0,0,M9/P9)</f>
        <v>7.56013745704467</v>
      </c>
      <c r="S9" s="23" t="n">
        <f aca="false">IF(P9=0,0,N9/P9)</f>
        <v>7.80068728522337</v>
      </c>
      <c r="T9" s="23" t="n">
        <f aca="false">IF(Q9=0,0,M9/Q9)</f>
        <v>9.27835051546392</v>
      </c>
      <c r="U9" s="21" t="n">
        <f aca="false">IF(G9*L9=0,0,N9/(L9*G9*2))</f>
        <v>0.840740740740741</v>
      </c>
      <c r="V9" s="21" t="n">
        <f aca="false">K9-U9</f>
        <v>-0.025925925925926</v>
      </c>
      <c r="W9" s="9" t="str">
        <f aca="false">IF(AND(J9&gt;Inputs!$B$9*H9,X9&gt;0),"ADD capacity / upgauge",IF(J9&gt;Inputs!$B$9*H9,"HOLD: spill too small to fill another flight - test pricing",IF(O9&lt;0,"REVIEW: losing money - downgauge or cut",IF(V9&lt;Inputs!$B$10,"WATCH: thin margin","HOLD"))))</f>
        <v>REVIEW: losing money - downgauge or cut</v>
      </c>
      <c r="X9" s="22" t="n">
        <f aca="false">(MIN((F9+1)*C9,H9)*L9*2-(F9+1)*2*(D9*INDEX(Inputs!$E$14:$E$15,MATCH(B9,Inputs!$A$14:$A$15,0))+INDEX(Inputs!$F$14:$F$15,MATCH(B9,Inputs!$A$14:$A$15,0)))*(1+Inputs!$B$6))-O9</f>
        <v>-1362000</v>
      </c>
    </row>
    <row r="10" customFormat="false" ht="15" hidden="false" customHeight="false" outlineLevel="0" collapsed="false">
      <c r="A10" s="14" t="str">
        <f aca="false">Markets!A10</f>
        <v>BOM</v>
      </c>
      <c r="B10" s="14" t="str">
        <f aca="false">Markets!F10</f>
        <v>A320</v>
      </c>
      <c r="C10" s="19" t="n">
        <f aca="false">INDEX(Inputs!$B$14:$B$15,MATCH(B10,Inputs!$A$14:$A$15,0))</f>
        <v>180</v>
      </c>
      <c r="D10" s="20" t="n">
        <f aca="false">Markets!C10/INDEX(Inputs!$C$14:$C$15,MATCH(B10,Inputs!$A$14:$A$15,0))+INDEX(Inputs!$D$14:$D$15,MATCH(B10,Inputs!$A$14:$A$15,0))</f>
        <v>1.55625</v>
      </c>
      <c r="E10" s="18" t="n">
        <f aca="false">COUNTIF(Schedule!$B$5:$B$27,A10)</f>
        <v>5</v>
      </c>
      <c r="F10" s="18" t="n">
        <f aca="false">MAX(0,E10+Markets!G10)</f>
        <v>5</v>
      </c>
      <c r="G10" s="18" t="n">
        <f aca="false">F10*C10</f>
        <v>900</v>
      </c>
      <c r="H10" s="18" t="n">
        <f aca="false">Markets!D10*(1+Inputs!$B$4)</f>
        <v>980</v>
      </c>
      <c r="I10" s="18" t="n">
        <f aca="false">MIN(G10,H10)</f>
        <v>900</v>
      </c>
      <c r="J10" s="18" t="n">
        <f aca="false">MAX(0,H10-G10)</f>
        <v>80</v>
      </c>
      <c r="K10" s="21" t="n">
        <f aca="false">IF(G10=0,0,I10/G10)</f>
        <v>1</v>
      </c>
      <c r="L10" s="22" t="n">
        <f aca="false">Markets!E10*(1+Inputs!$B$5)</f>
        <v>6200</v>
      </c>
      <c r="M10" s="22" t="n">
        <f aca="false">I10*L10*2</f>
        <v>11160000</v>
      </c>
      <c r="N10" s="22" t="n">
        <f aca="false">F10*2*(D10*INDEX(Inputs!$E$14:$E$15,MATCH(B10,Inputs!$A$14:$A$15,0))+INDEX(Inputs!$F$14:$F$15,MATCH(B10,Inputs!$A$14:$A$15,0)))*(1+Inputs!$B$6)</f>
        <v>8970000</v>
      </c>
      <c r="O10" s="22" t="n">
        <f aca="false">M10-N10</f>
        <v>2190000</v>
      </c>
      <c r="P10" s="18" t="n">
        <f aca="false">G10*Markets!C10*2</f>
        <v>1521000</v>
      </c>
      <c r="Q10" s="18" t="n">
        <f aca="false">I10*Markets!C10*2</f>
        <v>1521000</v>
      </c>
      <c r="R10" s="23" t="n">
        <f aca="false">IF(P10=0,0,M10/P10)</f>
        <v>7.33727810650888</v>
      </c>
      <c r="S10" s="23" t="n">
        <f aca="false">IF(P10=0,0,N10/P10)</f>
        <v>5.8974358974359</v>
      </c>
      <c r="T10" s="23" t="n">
        <f aca="false">IF(Q10=0,0,M10/Q10)</f>
        <v>7.33727810650888</v>
      </c>
      <c r="U10" s="21" t="n">
        <f aca="false">IF(G10*L10=0,0,N10/(L10*G10*2))</f>
        <v>0.803763440860215</v>
      </c>
      <c r="V10" s="21" t="n">
        <f aca="false">K10-U10</f>
        <v>0.196236559139785</v>
      </c>
      <c r="W10" s="9" t="str">
        <f aca="false">IF(AND(J10&gt;Inputs!$B$9*H10,X10&gt;0),"ADD capacity / upgauge",IF(J10&gt;Inputs!$B$9*H10,"HOLD: spill too small to fill another flight - test pricing",IF(O10&lt;0,"REVIEW: losing money - downgauge or cut",IF(V10&lt;Inputs!$B$10,"WATCH: thin margin","HOLD"))))</f>
        <v>HOLD: spill too small to fill another flight - test pricing</v>
      </c>
      <c r="X10" s="22" t="n">
        <f aca="false">(MIN((F10+1)*C10,H10)*L10*2-(F10+1)*2*(D10*INDEX(Inputs!$E$14:$E$15,MATCH(B10,Inputs!$A$14:$A$15,0))+INDEX(Inputs!$F$14:$F$15,MATCH(B10,Inputs!$A$14:$A$15,0)))*(1+Inputs!$B$6))-O10</f>
        <v>-802000</v>
      </c>
    </row>
    <row r="11" customFormat="false" ht="15" hidden="false" customHeight="false" outlineLevel="0" collapsed="false">
      <c r="A11" s="24" t="s">
        <v>139</v>
      </c>
      <c r="B11" s="24"/>
      <c r="C11" s="25"/>
      <c r="D11" s="26"/>
      <c r="E11" s="25" t="n">
        <f aca="false">SUM(E5:E10)</f>
        <v>23</v>
      </c>
      <c r="F11" s="25" t="n">
        <f aca="false">SUM(F5:F10)</f>
        <v>23</v>
      </c>
      <c r="G11" s="25" t="n">
        <f aca="false">SUM(G5:G10)</f>
        <v>3732</v>
      </c>
      <c r="H11" s="25" t="n">
        <f aca="false">SUM(H5:H10)</f>
        <v>3480</v>
      </c>
      <c r="I11" s="25" t="n">
        <f aca="false">SUM(I5:I10)</f>
        <v>3400</v>
      </c>
      <c r="J11" s="25" t="n">
        <f aca="false">SUM(J5:J10)</f>
        <v>80</v>
      </c>
      <c r="K11" s="27" t="n">
        <f aca="false">IF(P11=0,0,Q11/P11)</f>
        <v>0.925134914471195</v>
      </c>
      <c r="L11" s="28"/>
      <c r="M11" s="28" t="n">
        <f aca="false">SUM(M5:M10)</f>
        <v>32016000</v>
      </c>
      <c r="N11" s="28" t="n">
        <f aca="false">SUM(N5:N10)</f>
        <v>29200000</v>
      </c>
      <c r="O11" s="28" t="n">
        <f aca="false">SUM(O5:O10)</f>
        <v>2816000</v>
      </c>
      <c r="P11" s="25" t="n">
        <f aca="false">SUM(P5:P10)</f>
        <v>4017360</v>
      </c>
      <c r="Q11" s="25" t="n">
        <f aca="false">SUM(Q5:Q10)</f>
        <v>3716600</v>
      </c>
      <c r="R11" s="29" t="n">
        <f aca="false">IF(P11=0,0,M11/P11)</f>
        <v>7.96941274867077</v>
      </c>
      <c r="S11" s="29" t="n">
        <f aca="false">IF(P11=0,0,N11/P11)</f>
        <v>7.26845490570922</v>
      </c>
      <c r="T11" s="29" t="n">
        <f aca="false">IF(Q11=0,0,M11/Q11)</f>
        <v>8.61432492062638</v>
      </c>
      <c r="U11" s="27" t="n">
        <f aca="false">IF(M11=0,0,N11*K11/M11)</f>
        <v>0.84376372759117</v>
      </c>
      <c r="V11" s="27" t="n">
        <f aca="false">K11-U11</f>
        <v>0.0813711868800251</v>
      </c>
      <c r="W11" s="24"/>
      <c r="X11" s="24"/>
    </row>
    <row r="12" customFormat="false" ht="15" hidden="false" customHeight="false" outlineLevel="0" collapsed="false">
      <c r="A12" s="5" t="s">
        <v>140</v>
      </c>
    </row>
  </sheetData>
  <conditionalFormatting sqref="W5:W10">
    <cfRule type="expression" priority="2" aboveAverage="0" equalAverage="0" bottom="0" percent="0" rank="0" text="" dxfId="1">
      <formula>LEFT(W5,3)="ADD"</formula>
    </cfRule>
    <cfRule type="expression" priority="3" aboveAverage="0" equalAverage="0" bottom="0" percent="0" rank="0" text="" dxfId="2">
      <formula>LEFT(W5,7)="HOLD: s"</formula>
    </cfRule>
    <cfRule type="expression" priority="4" aboveAverage="0" equalAverage="0" bottom="0" percent="0" rank="0" text="" dxfId="0">
      <formula>LEFT(W5,6)="REVIEW"</formula>
    </cfRule>
    <cfRule type="expression" priority="5" aboveAverage="0" equalAverage="0" bottom="0" percent="0" rank="0" text="" dxfId="3">
      <formula>LEFT(W5,5)="WATCH"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2026-10-10T15:10:33Z</dcterms:created>
  <dc:creator>openpyxl</dc:creator>
  <dc:description/>
  <dc:language>en-US</dc:language>
  <cp:lastModifiedBy/>
  <dcterms:modified xsi:type="dcterms:W3CDTF">2026-10-10T15:10:35Z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